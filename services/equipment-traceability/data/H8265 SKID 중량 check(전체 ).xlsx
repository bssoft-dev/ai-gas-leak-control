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nas\공유폴더\2.생산\선보유니텍\H8265\"/>
    </mc:Choice>
  </mc:AlternateContent>
  <bookViews>
    <workbookView xWindow="28680" yWindow="15" windowWidth="29040" windowHeight="15990" activeTab="1"/>
  </bookViews>
  <sheets>
    <sheet name="중량" sheetId="7" r:id="rId1"/>
    <sheet name="리스트" sheetId="12" r:id="rId2"/>
    <sheet name="Sheet1" sheetId="10" r:id="rId3"/>
  </sheets>
  <definedNames>
    <definedName name="_xlnm._FilterDatabase" localSheetId="1" hidden="1">리스트!$A$3:$O$1204</definedName>
    <definedName name="_xlnm.Print_Area" localSheetId="1">리스트!$A$1:$N$584</definedName>
    <definedName name="_xlnm.Print_Titles" localSheetId="1">리스트!$3:$3</definedName>
  </definedNames>
  <calcPr calcId="162913"/>
</workbook>
</file>

<file path=xl/calcChain.xml><?xml version="1.0" encoding="utf-8"?>
<calcChain xmlns="http://schemas.openxmlformats.org/spreadsheetml/2006/main">
  <c r="E43" i="7" l="1"/>
  <c r="E30" i="7"/>
  <c r="E17" i="7"/>
  <c r="E44" i="7" s="1"/>
  <c r="R1192" i="12" l="1"/>
  <c r="P3" i="12" l="1"/>
  <c r="K2" i="12" l="1"/>
  <c r="J2" i="12" l="1"/>
  <c r="M2" i="12" l="1"/>
  <c r="K10" i="10"/>
  <c r="D35" i="10"/>
  <c r="C35" i="10"/>
  <c r="B35" i="10"/>
</calcChain>
</file>

<file path=xl/sharedStrings.xml><?xml version="1.0" encoding="utf-8"?>
<sst xmlns="http://schemas.openxmlformats.org/spreadsheetml/2006/main" count="5403" uniqueCount="731">
  <si>
    <t>중량(kg)</t>
    <phoneticPr fontId="1" type="noConversion"/>
  </si>
  <si>
    <t>비 고</t>
    <phoneticPr fontId="1" type="noConversion"/>
  </si>
  <si>
    <t>도면
접수일</t>
  </si>
  <si>
    <t>호선</t>
  </si>
  <si>
    <t>DWG NO.</t>
  </si>
  <si>
    <t>수량</t>
  </si>
  <si>
    <t>도면 중량</t>
    <phoneticPr fontId="1" type="noConversion"/>
  </si>
  <si>
    <t>BASE FRAME</t>
    <phoneticPr fontId="1" type="noConversion"/>
  </si>
  <si>
    <t>EARTH CONNECTION</t>
    <phoneticPr fontId="1" type="noConversion"/>
  </si>
  <si>
    <t>M20 NUT</t>
    <phoneticPr fontId="1" type="noConversion"/>
  </si>
  <si>
    <t>M16 NUT</t>
    <phoneticPr fontId="1" type="noConversion"/>
  </si>
  <si>
    <t>TOP</t>
    <phoneticPr fontId="1" type="noConversion"/>
  </si>
  <si>
    <t>BASE</t>
    <phoneticPr fontId="1" type="noConversion"/>
  </si>
  <si>
    <t>SUPT&amp;PILLAR</t>
    <phoneticPr fontId="1" type="noConversion"/>
  </si>
  <si>
    <t>SUPT</t>
    <phoneticPr fontId="1" type="noConversion"/>
  </si>
  <si>
    <t>FOOT PLATE</t>
    <phoneticPr fontId="1" type="noConversion"/>
  </si>
  <si>
    <t>E&amp;I SUPT</t>
    <phoneticPr fontId="1" type="noConversion"/>
  </si>
  <si>
    <t>BARRING GEAR</t>
    <phoneticPr fontId="1" type="noConversion"/>
  </si>
  <si>
    <t>PC'S NO.</t>
    <phoneticPr fontId="1" type="noConversion"/>
  </si>
  <si>
    <t>ITEM</t>
    <phoneticPr fontId="1" type="noConversion"/>
  </si>
  <si>
    <t>B-002</t>
  </si>
  <si>
    <t>B-003</t>
  </si>
  <si>
    <t>LIST 중량</t>
    <phoneticPr fontId="1" type="noConversion"/>
  </si>
  <si>
    <t>개정일</t>
    <phoneticPr fontId="8" type="noConversion"/>
  </si>
  <si>
    <t>개정사유</t>
    <phoneticPr fontId="8" type="noConversion"/>
  </si>
  <si>
    <t>BLOCK</t>
    <phoneticPr fontId="1" type="noConversion"/>
  </si>
  <si>
    <t>BLOCK</t>
    <phoneticPr fontId="1" type="noConversion"/>
  </si>
  <si>
    <t>UNIT</t>
    <phoneticPr fontId="1" type="noConversion"/>
  </si>
  <si>
    <t>품명</t>
    <phoneticPr fontId="1" type="noConversion"/>
  </si>
  <si>
    <t>UNIT</t>
    <phoneticPr fontId="1" type="noConversion"/>
  </si>
  <si>
    <t>합계</t>
    <phoneticPr fontId="1" type="noConversion"/>
  </si>
  <si>
    <t>순서 : 설치도(=취부도) → 제작도(PLATFORM) → 제작도(의장) → 제작도(전장) → 사급품\</t>
    <phoneticPr fontId="1" type="noConversion"/>
  </si>
  <si>
    <t>SB선보 H8265 제작 중량</t>
    <phoneticPr fontId="1" type="noConversion"/>
  </si>
  <si>
    <t>H8265 ITEM LIST</t>
    <phoneticPr fontId="1" type="noConversion"/>
  </si>
  <si>
    <t>H8265</t>
    <phoneticPr fontId="1" type="noConversion"/>
  </si>
  <si>
    <t>PORT</t>
    <phoneticPr fontId="1" type="noConversion"/>
  </si>
  <si>
    <t>PLATFORM</t>
    <phoneticPr fontId="1" type="noConversion"/>
  </si>
  <si>
    <t>PF-C01</t>
    <phoneticPr fontId="1" type="noConversion"/>
  </si>
  <si>
    <t>PAINT
CODE</t>
    <phoneticPr fontId="1" type="noConversion"/>
  </si>
  <si>
    <t>PM</t>
    <phoneticPr fontId="1" type="noConversion"/>
  </si>
  <si>
    <t>HAND RAIL</t>
    <phoneticPr fontId="1" type="noConversion"/>
  </si>
  <si>
    <t>HR-C01</t>
    <phoneticPr fontId="1" type="noConversion"/>
  </si>
  <si>
    <t>HR-C02</t>
  </si>
  <si>
    <t>HR-C03</t>
  </si>
  <si>
    <t>VL-C01</t>
    <phoneticPr fontId="1" type="noConversion"/>
  </si>
  <si>
    <t>VERTICAL LADDER</t>
    <phoneticPr fontId="1" type="noConversion"/>
  </si>
  <si>
    <t>D81CJ593B</t>
    <phoneticPr fontId="1" type="noConversion"/>
  </si>
  <si>
    <t>MF-01</t>
    <phoneticPr fontId="1" type="noConversion"/>
  </si>
  <si>
    <t>MF-02</t>
  </si>
  <si>
    <t>MF-03</t>
  </si>
  <si>
    <t>MF-04</t>
  </si>
  <si>
    <t>설치위치도</t>
    <phoneticPr fontId="1" type="noConversion"/>
  </si>
  <si>
    <t>MOTOR SEAT</t>
    <phoneticPr fontId="1" type="noConversion"/>
  </si>
  <si>
    <t>COMPRESSOR LINER</t>
    <phoneticPr fontId="1" type="noConversion"/>
  </si>
  <si>
    <t>COMPRESSOR COAMING</t>
    <phoneticPr fontId="1" type="noConversion"/>
  </si>
  <si>
    <t>MOTOR LINER</t>
    <phoneticPr fontId="1" type="noConversion"/>
  </si>
  <si>
    <t>BASE FRAME</t>
    <phoneticPr fontId="1" type="noConversion"/>
  </si>
  <si>
    <t>FRAME TOP</t>
    <phoneticPr fontId="1" type="noConversion"/>
  </si>
  <si>
    <t>SIDE FRAME</t>
    <phoneticPr fontId="1" type="noConversion"/>
  </si>
  <si>
    <t>BRACKET1</t>
    <phoneticPr fontId="1" type="noConversion"/>
  </si>
  <si>
    <t>BRACKET2</t>
    <phoneticPr fontId="1" type="noConversion"/>
  </si>
  <si>
    <t>LUG1</t>
    <phoneticPr fontId="1" type="noConversion"/>
  </si>
  <si>
    <t>LUG2</t>
    <phoneticPr fontId="1" type="noConversion"/>
  </si>
  <si>
    <t>LUG3</t>
    <phoneticPr fontId="1" type="noConversion"/>
  </si>
  <si>
    <t>LUG4</t>
    <phoneticPr fontId="1" type="noConversion"/>
  </si>
  <si>
    <t>MOTOR LUG</t>
    <phoneticPr fontId="1" type="noConversion"/>
  </si>
  <si>
    <t>N2103</t>
    <phoneticPr fontId="1" type="noConversion"/>
  </si>
  <si>
    <t>N2101</t>
    <phoneticPr fontId="1" type="noConversion"/>
  </si>
  <si>
    <t>N2100</t>
    <phoneticPr fontId="1" type="noConversion"/>
  </si>
  <si>
    <t>N2107</t>
    <phoneticPr fontId="1" type="noConversion"/>
  </si>
  <si>
    <t>N2102</t>
    <phoneticPr fontId="1" type="noConversion"/>
  </si>
  <si>
    <t>SEAT FOR VARGO CONDENSER</t>
    <phoneticPr fontId="1" type="noConversion"/>
  </si>
  <si>
    <t>E&amp;I SEAT</t>
    <phoneticPr fontId="1" type="noConversion"/>
  </si>
  <si>
    <t>SHAFT COUPLING GUARD</t>
    <phoneticPr fontId="1" type="noConversion"/>
  </si>
  <si>
    <t>PIPE SUPPORT</t>
    <phoneticPr fontId="1" type="noConversion"/>
  </si>
  <si>
    <t>B-001</t>
    <phoneticPr fontId="1" type="noConversion"/>
  </si>
  <si>
    <t>PM</t>
    <phoneticPr fontId="1" type="noConversion"/>
  </si>
  <si>
    <t>B-038</t>
    <phoneticPr fontId="1" type="noConversion"/>
  </si>
  <si>
    <t>B-041</t>
    <phoneticPr fontId="1" type="noConversion"/>
  </si>
  <si>
    <t>B-044</t>
    <phoneticPr fontId="1" type="noConversion"/>
  </si>
  <si>
    <t>B-047</t>
    <phoneticPr fontId="1" type="noConversion"/>
  </si>
  <si>
    <t>B-050</t>
    <phoneticPr fontId="1" type="noConversion"/>
  </si>
  <si>
    <t>21-001A</t>
    <phoneticPr fontId="1" type="noConversion"/>
  </si>
  <si>
    <t>21-002A</t>
  </si>
  <si>
    <t>21-003A</t>
  </si>
  <si>
    <t>21-006A</t>
  </si>
  <si>
    <t>21-007A</t>
  </si>
  <si>
    <t>21-009A</t>
  </si>
  <si>
    <t>21-011A</t>
  </si>
  <si>
    <t>21-012A</t>
  </si>
  <si>
    <t>21-013A</t>
  </si>
  <si>
    <t>21-014A</t>
  </si>
  <si>
    <t>21-015A</t>
  </si>
  <si>
    <t>21-016A</t>
  </si>
  <si>
    <t>21-017A</t>
  </si>
  <si>
    <t>21-018A</t>
  </si>
  <si>
    <t>21-019A</t>
  </si>
  <si>
    <t>21-020A</t>
  </si>
  <si>
    <t>21-021A</t>
  </si>
  <si>
    <t>21-022A</t>
  </si>
  <si>
    <t>21-023A</t>
  </si>
  <si>
    <t>21-024A</t>
  </si>
  <si>
    <t>21-025A</t>
  </si>
  <si>
    <t>21-027A</t>
  </si>
  <si>
    <t>21-028A</t>
  </si>
  <si>
    <t>21-029A</t>
  </si>
  <si>
    <t>21-030A</t>
  </si>
  <si>
    <t>21-031A</t>
  </si>
  <si>
    <t>21-032A</t>
  </si>
  <si>
    <t>21-033A</t>
  </si>
  <si>
    <t>21-034A</t>
  </si>
  <si>
    <t>21-035A</t>
  </si>
  <si>
    <t>21-036A</t>
  </si>
  <si>
    <t>21-039A</t>
  </si>
  <si>
    <t>21-040A</t>
  </si>
  <si>
    <t>21-041A</t>
  </si>
  <si>
    <t>21-042A</t>
  </si>
  <si>
    <t>21-043A</t>
  </si>
  <si>
    <t>21-045A</t>
  </si>
  <si>
    <t>21-046A</t>
  </si>
  <si>
    <t>21-047A</t>
  </si>
  <si>
    <t>21-048A</t>
  </si>
  <si>
    <t>21-049A</t>
  </si>
  <si>
    <t>21-050A</t>
  </si>
  <si>
    <t>21-051A</t>
  </si>
  <si>
    <t>21-052A</t>
  </si>
  <si>
    <t>21-053A</t>
  </si>
  <si>
    <t>21-054A</t>
  </si>
  <si>
    <t>21-056A</t>
  </si>
  <si>
    <t>21-057A</t>
  </si>
  <si>
    <t>21-058A</t>
  </si>
  <si>
    <t>21-059A</t>
  </si>
  <si>
    <t>21-061A</t>
  </si>
  <si>
    <t>21-064A</t>
  </si>
  <si>
    <t>21-070A</t>
  </si>
  <si>
    <t>21-072A</t>
  </si>
  <si>
    <t>21-073A</t>
  </si>
  <si>
    <t>21-075A</t>
  </si>
  <si>
    <t>21-076A</t>
  </si>
  <si>
    <t>21-077A</t>
  </si>
  <si>
    <t>21-078A</t>
  </si>
  <si>
    <t>21-079A</t>
  </si>
  <si>
    <t>21-081A</t>
  </si>
  <si>
    <t>21-082A</t>
  </si>
  <si>
    <t>21-084A</t>
  </si>
  <si>
    <t>21-085A</t>
  </si>
  <si>
    <t>21-087A</t>
  </si>
  <si>
    <t>21-088A</t>
  </si>
  <si>
    <t>21-089A</t>
  </si>
  <si>
    <t>21-091A</t>
  </si>
  <si>
    <t>21-092A</t>
  </si>
  <si>
    <t>21-093A</t>
  </si>
  <si>
    <t>21-097A</t>
  </si>
  <si>
    <t>21-098A</t>
  </si>
  <si>
    <t>21-099A</t>
  </si>
  <si>
    <t>21-100A</t>
  </si>
  <si>
    <t>21-101A</t>
  </si>
  <si>
    <t>21-102A</t>
  </si>
  <si>
    <t>21-103A</t>
  </si>
  <si>
    <t>21-104A</t>
  </si>
  <si>
    <t>21-105A</t>
  </si>
  <si>
    <t>21-123A</t>
    <phoneticPr fontId="1" type="noConversion"/>
  </si>
  <si>
    <t>21-129A</t>
    <phoneticPr fontId="1" type="noConversion"/>
  </si>
  <si>
    <t>21-130A</t>
  </si>
  <si>
    <t>21-150A</t>
    <phoneticPr fontId="1" type="noConversion"/>
  </si>
  <si>
    <t>21-151A</t>
  </si>
  <si>
    <t>21-157A</t>
    <phoneticPr fontId="1" type="noConversion"/>
  </si>
  <si>
    <t>21-159A</t>
    <phoneticPr fontId="1" type="noConversion"/>
  </si>
  <si>
    <t>21-161A</t>
    <phoneticPr fontId="1" type="noConversion"/>
  </si>
  <si>
    <t>21-162A</t>
  </si>
  <si>
    <t>21-172A</t>
    <phoneticPr fontId="1" type="noConversion"/>
  </si>
  <si>
    <t>21-173A</t>
  </si>
  <si>
    <t>21-174A</t>
  </si>
  <si>
    <t>21-175A</t>
  </si>
  <si>
    <t>21-176A</t>
  </si>
  <si>
    <t>21-177A</t>
  </si>
  <si>
    <t>21-178A</t>
  </si>
  <si>
    <t>21-179A</t>
  </si>
  <si>
    <t>21-180A</t>
  </si>
  <si>
    <t>21-185A</t>
    <phoneticPr fontId="1" type="noConversion"/>
  </si>
  <si>
    <t>21-186A</t>
  </si>
  <si>
    <t>21-187A</t>
  </si>
  <si>
    <t>21-189A</t>
  </si>
  <si>
    <t>21-190A</t>
  </si>
  <si>
    <t>21-191A</t>
  </si>
  <si>
    <t>21-205A</t>
    <phoneticPr fontId="1" type="noConversion"/>
  </si>
  <si>
    <t>21-206A</t>
  </si>
  <si>
    <t>21-209A</t>
  </si>
  <si>
    <t>21-210A</t>
  </si>
  <si>
    <t>21-211A</t>
  </si>
  <si>
    <t>21-212A</t>
  </si>
  <si>
    <t>LCV-2134</t>
    <phoneticPr fontId="1" type="noConversion"/>
  </si>
  <si>
    <t>LCV-2133</t>
    <phoneticPr fontId="1" type="noConversion"/>
  </si>
  <si>
    <t>PSV-2104</t>
    <phoneticPr fontId="1" type="noConversion"/>
  </si>
  <si>
    <t>PSV-2105</t>
    <phoneticPr fontId="1" type="noConversion"/>
  </si>
  <si>
    <t>PE</t>
    <phoneticPr fontId="1" type="noConversion"/>
  </si>
  <si>
    <t>21-015A 중복</t>
    <phoneticPr fontId="1" type="noConversion"/>
  </si>
  <si>
    <t>21-030A 중복</t>
    <phoneticPr fontId="1" type="noConversion"/>
  </si>
  <si>
    <t>21-028A 중복</t>
    <phoneticPr fontId="1" type="noConversion"/>
  </si>
  <si>
    <t>21-040A 중복</t>
    <phoneticPr fontId="1" type="noConversion"/>
  </si>
  <si>
    <t>21-047A 중복</t>
    <phoneticPr fontId="1" type="noConversion"/>
  </si>
  <si>
    <t>21-027A 중복</t>
    <phoneticPr fontId="1" type="noConversion"/>
  </si>
  <si>
    <t>21-099A 중복</t>
    <phoneticPr fontId="1" type="noConversion"/>
  </si>
  <si>
    <t>21-103A 중복</t>
    <phoneticPr fontId="1" type="noConversion"/>
  </si>
  <si>
    <t>21-032A 중복</t>
    <phoneticPr fontId="1" type="noConversion"/>
  </si>
  <si>
    <t>21-177A 중복</t>
    <phoneticPr fontId="1" type="noConversion"/>
  </si>
  <si>
    <t>21-015A 중복</t>
    <phoneticPr fontId="1" type="noConversion"/>
  </si>
  <si>
    <t>21-210A 중복</t>
    <phoneticPr fontId="1" type="noConversion"/>
  </si>
  <si>
    <t>PSV-2104 중복</t>
    <phoneticPr fontId="1" type="noConversion"/>
  </si>
  <si>
    <t>E&amp;I PLAT BAR</t>
    <phoneticPr fontId="1" type="noConversion"/>
  </si>
  <si>
    <t>LFB-001</t>
    <phoneticPr fontId="1" type="noConversion"/>
  </si>
  <si>
    <t>LFB-002</t>
  </si>
  <si>
    <t>LFB-003</t>
  </si>
  <si>
    <t>LFB-004</t>
  </si>
  <si>
    <t>LFB-005</t>
  </si>
  <si>
    <t>LFB-006</t>
  </si>
  <si>
    <t>LFB-007</t>
  </si>
  <si>
    <t>LFB-008</t>
  </si>
  <si>
    <t>LFB-009</t>
  </si>
  <si>
    <t>LFB-010</t>
  </si>
  <si>
    <t>LFB-011</t>
  </si>
  <si>
    <t>LFB-012</t>
  </si>
  <si>
    <t>LFB-013</t>
  </si>
  <si>
    <t>LFB-014</t>
  </si>
  <si>
    <t>LFB-015</t>
  </si>
  <si>
    <t>LFB-016</t>
  </si>
  <si>
    <t>LFB-017</t>
  </si>
  <si>
    <t>LFB-018</t>
  </si>
  <si>
    <t>LFB-019</t>
  </si>
  <si>
    <t>LFB-020</t>
  </si>
  <si>
    <t>LFB-021</t>
  </si>
  <si>
    <t>LFB-022</t>
  </si>
  <si>
    <t>LFB-023</t>
  </si>
  <si>
    <t>LFB-024</t>
  </si>
  <si>
    <t>LFB-025</t>
  </si>
  <si>
    <t>LFB-026</t>
  </si>
  <si>
    <t>LFB-027</t>
  </si>
  <si>
    <t>LFB-028</t>
  </si>
  <si>
    <t>LFB-029</t>
  </si>
  <si>
    <t>LFB-030</t>
  </si>
  <si>
    <t>LFB-031</t>
  </si>
  <si>
    <t>LFB-032</t>
  </si>
  <si>
    <t>LFB-033</t>
  </si>
  <si>
    <t>LFB-034</t>
  </si>
  <si>
    <t>LFB-035</t>
  </si>
  <si>
    <t>LFB-036</t>
  </si>
  <si>
    <t>LFB-037</t>
  </si>
  <si>
    <t>LFB-038</t>
  </si>
  <si>
    <t>LFB-039</t>
  </si>
  <si>
    <t>LFB-040</t>
  </si>
  <si>
    <t>IS-001</t>
    <phoneticPr fontId="1" type="noConversion"/>
  </si>
  <si>
    <t>IS-002</t>
  </si>
  <si>
    <t>IS-003</t>
  </si>
  <si>
    <t>IS-004</t>
  </si>
  <si>
    <t>IS-005</t>
  </si>
  <si>
    <t>IS-006</t>
  </si>
  <si>
    <t>IS-007</t>
  </si>
  <si>
    <t>IS-008</t>
  </si>
  <si>
    <t>IS-009</t>
  </si>
  <si>
    <t>IS-010</t>
  </si>
  <si>
    <t>IS-011</t>
  </si>
  <si>
    <t>IS-012</t>
  </si>
  <si>
    <t>IS-013</t>
  </si>
  <si>
    <t>IS-014</t>
  </si>
  <si>
    <t>IS-015</t>
  </si>
  <si>
    <t>IS-016</t>
  </si>
  <si>
    <t>IS-017</t>
  </si>
  <si>
    <t>IS-018</t>
  </si>
  <si>
    <t>IS-019</t>
  </si>
  <si>
    <t>IS-020</t>
  </si>
  <si>
    <t>IS-021</t>
  </si>
  <si>
    <t>IS-022</t>
  </si>
  <si>
    <t>IS-023</t>
  </si>
  <si>
    <t>IS-024</t>
  </si>
  <si>
    <t>IS-025</t>
  </si>
  <si>
    <t>IS-026</t>
  </si>
  <si>
    <t>IS-027</t>
  </si>
  <si>
    <t>IS-028</t>
  </si>
  <si>
    <t>IS-029</t>
  </si>
  <si>
    <t>IS-030</t>
  </si>
  <si>
    <t>IS-031</t>
  </si>
  <si>
    <t>IS-032</t>
  </si>
  <si>
    <t>IS-033</t>
  </si>
  <si>
    <t>IS-034</t>
  </si>
  <si>
    <t>IS-035</t>
  </si>
  <si>
    <t>IS-036</t>
  </si>
  <si>
    <t>IS-037</t>
  </si>
  <si>
    <t>IS-038</t>
  </si>
  <si>
    <t>IS-039</t>
  </si>
  <si>
    <t>IS-040</t>
  </si>
  <si>
    <t>IS-041</t>
  </si>
  <si>
    <t>IS-042</t>
  </si>
  <si>
    <t>IS-043</t>
  </si>
  <si>
    <t>IS-044</t>
  </si>
  <si>
    <t>IS-045</t>
  </si>
  <si>
    <t>IS-046</t>
  </si>
  <si>
    <t>IS-047</t>
  </si>
  <si>
    <t>IS-048</t>
  </si>
  <si>
    <t>IS-049</t>
  </si>
  <si>
    <t>IS-050</t>
  </si>
  <si>
    <t>IS-051</t>
  </si>
  <si>
    <t>IS-052</t>
  </si>
  <si>
    <t>IS-053</t>
  </si>
  <si>
    <t>IS-054</t>
  </si>
  <si>
    <t>IS-055</t>
  </si>
  <si>
    <t>IS-056</t>
  </si>
  <si>
    <t>IS-057</t>
  </si>
  <si>
    <t>IS-058</t>
  </si>
  <si>
    <t>IS-059</t>
  </si>
  <si>
    <t>IS-060</t>
  </si>
  <si>
    <t>IS-061</t>
  </si>
  <si>
    <t>IS-062</t>
  </si>
  <si>
    <t>IS-063</t>
  </si>
  <si>
    <t>IS-064</t>
  </si>
  <si>
    <t>IS-065</t>
  </si>
  <si>
    <t>IS-066</t>
  </si>
  <si>
    <t>IS-067</t>
  </si>
  <si>
    <t>IS-068</t>
  </si>
  <si>
    <t>IS-069</t>
  </si>
  <si>
    <t>IS-070</t>
  </si>
  <si>
    <t>IS-071</t>
  </si>
  <si>
    <t>IS-072</t>
  </si>
  <si>
    <t>IS-073</t>
  </si>
  <si>
    <t>IS-074</t>
  </si>
  <si>
    <t>IS-075</t>
  </si>
  <si>
    <t>IS-076</t>
  </si>
  <si>
    <t>IS-077</t>
  </si>
  <si>
    <t>IS-078</t>
  </si>
  <si>
    <t>IS-079</t>
  </si>
  <si>
    <t>IS-080</t>
  </si>
  <si>
    <t>IS-081</t>
  </si>
  <si>
    <t>IS-082</t>
  </si>
  <si>
    <t>IS-083</t>
  </si>
  <si>
    <t>IS-084</t>
  </si>
  <si>
    <t>IS-085</t>
  </si>
  <si>
    <t>IS-086</t>
  </si>
  <si>
    <t>IS-087</t>
  </si>
  <si>
    <t>IS-088</t>
  </si>
  <si>
    <t>IS-089</t>
  </si>
  <si>
    <t>IS-090</t>
  </si>
  <si>
    <t>IS-091</t>
  </si>
  <si>
    <t>IS-092</t>
  </si>
  <si>
    <t>IS-093</t>
  </si>
  <si>
    <t>IS-094</t>
  </si>
  <si>
    <t>IS-095</t>
  </si>
  <si>
    <t>IS-096</t>
  </si>
  <si>
    <t>IS-097</t>
  </si>
  <si>
    <t>IS-098</t>
  </si>
  <si>
    <t>IS-099</t>
  </si>
  <si>
    <t>IS-100</t>
  </si>
  <si>
    <t>IS-101</t>
  </si>
  <si>
    <t>IS-102</t>
  </si>
  <si>
    <t>IS-103</t>
  </si>
  <si>
    <t>IS-104</t>
  </si>
  <si>
    <t>IS-105</t>
  </si>
  <si>
    <t>IS-106</t>
  </si>
  <si>
    <t>IS-107</t>
  </si>
  <si>
    <t>IS-108</t>
  </si>
  <si>
    <t>IS-109</t>
  </si>
  <si>
    <t>IS-110</t>
  </si>
  <si>
    <t>IS-111</t>
  </si>
  <si>
    <t>IS-112</t>
  </si>
  <si>
    <t>IS-113</t>
  </si>
  <si>
    <t>IS-114</t>
  </si>
  <si>
    <t>IS-115</t>
  </si>
  <si>
    <t>IS-116</t>
  </si>
  <si>
    <t>IS-117</t>
  </si>
  <si>
    <t>IS-118</t>
  </si>
  <si>
    <t>IS-119</t>
  </si>
  <si>
    <t>IS-120</t>
  </si>
  <si>
    <t>IS-121</t>
  </si>
  <si>
    <t>IS-122</t>
  </si>
  <si>
    <t>IS-123</t>
  </si>
  <si>
    <t>IS-124</t>
  </si>
  <si>
    <t>IS-125</t>
  </si>
  <si>
    <t>IS-126</t>
  </si>
  <si>
    <t>IS-127</t>
  </si>
  <si>
    <t>IS-128</t>
  </si>
  <si>
    <t>IS-129</t>
  </si>
  <si>
    <t>IS-130</t>
  </si>
  <si>
    <t>IS-131</t>
  </si>
  <si>
    <t>IS-132</t>
  </si>
  <si>
    <t>IS-133</t>
  </si>
  <si>
    <t>IS-134</t>
  </si>
  <si>
    <t>IS-135</t>
  </si>
  <si>
    <t>IS-136</t>
  </si>
  <si>
    <t>IS-137</t>
  </si>
  <si>
    <t>IS-138</t>
  </si>
  <si>
    <t>IS-139</t>
  </si>
  <si>
    <t>IS-140</t>
  </si>
  <si>
    <t>IS-141</t>
  </si>
  <si>
    <t>TU-001</t>
    <phoneticPr fontId="1" type="noConversion"/>
  </si>
  <si>
    <t>TU-002</t>
  </si>
  <si>
    <t>TU-003</t>
  </si>
  <si>
    <t>TU-004</t>
  </si>
  <si>
    <t>TU-005</t>
  </si>
  <si>
    <t>TU-006</t>
  </si>
  <si>
    <t>TU-007</t>
  </si>
  <si>
    <t>TU-008</t>
  </si>
  <si>
    <t>TU-009</t>
  </si>
  <si>
    <t>TU-010</t>
  </si>
  <si>
    <t>TU-011</t>
  </si>
  <si>
    <t>TU-012</t>
  </si>
  <si>
    <t>TU-013</t>
  </si>
  <si>
    <t>TU-014</t>
  </si>
  <si>
    <t>TU-015</t>
  </si>
  <si>
    <t>TU-016</t>
  </si>
  <si>
    <t>TU-017</t>
  </si>
  <si>
    <t>TU-018</t>
  </si>
  <si>
    <t>TU-019</t>
  </si>
  <si>
    <t>TU-020</t>
  </si>
  <si>
    <t>TU-021</t>
  </si>
  <si>
    <t>TU-022</t>
  </si>
  <si>
    <t>TU-023</t>
  </si>
  <si>
    <t>TU-024</t>
  </si>
  <si>
    <t>TU-025</t>
  </si>
  <si>
    <t>TU-026</t>
  </si>
  <si>
    <t>TU-027</t>
  </si>
  <si>
    <t>TU-028</t>
  </si>
  <si>
    <t>TU-029</t>
  </si>
  <si>
    <t>TU-030</t>
  </si>
  <si>
    <t>TU-033</t>
    <phoneticPr fontId="1" type="noConversion"/>
  </si>
  <si>
    <t>TU-034</t>
  </si>
  <si>
    <t>TU-035</t>
  </si>
  <si>
    <t>TU-036</t>
  </si>
  <si>
    <t>TU-037</t>
  </si>
  <si>
    <t>TU-039</t>
    <phoneticPr fontId="1" type="noConversion"/>
  </si>
  <si>
    <t>TU-040</t>
  </si>
  <si>
    <t>TU-041</t>
  </si>
  <si>
    <t>TU-042</t>
  </si>
  <si>
    <t>TU-043</t>
  </si>
  <si>
    <t>TU-044</t>
  </si>
  <si>
    <t>TU-045</t>
  </si>
  <si>
    <t>TU-046</t>
  </si>
  <si>
    <t>TU-047</t>
  </si>
  <si>
    <t>TU-048</t>
  </si>
  <si>
    <t>TU-049</t>
  </si>
  <si>
    <t>TU-050</t>
  </si>
  <si>
    <t>TU-051</t>
  </si>
  <si>
    <t>TU-052</t>
  </si>
  <si>
    <t>TU-053</t>
  </si>
  <si>
    <t>TU-054</t>
  </si>
  <si>
    <t>TU-055</t>
  </si>
  <si>
    <t>TU-056</t>
  </si>
  <si>
    <t>TU-057</t>
  </si>
  <si>
    <t>TU-058</t>
  </si>
  <si>
    <t>TU-059</t>
  </si>
  <si>
    <t>TU-060</t>
  </si>
  <si>
    <t>TU-061</t>
  </si>
  <si>
    <t>TU-062</t>
  </si>
  <si>
    <t>TU-063</t>
  </si>
  <si>
    <t>TU-064</t>
  </si>
  <si>
    <t>TU-065</t>
  </si>
  <si>
    <t>CENT</t>
  </si>
  <si>
    <t>비고</t>
    <phoneticPr fontId="1" type="noConversion"/>
  </si>
  <si>
    <t>22-001A</t>
  </si>
  <si>
    <t>22-002A</t>
  </si>
  <si>
    <t>22-003A</t>
  </si>
  <si>
    <t>22-006A</t>
  </si>
  <si>
    <t>22-007A</t>
  </si>
  <si>
    <t>22-009A</t>
  </si>
  <si>
    <t>22-011A</t>
  </si>
  <si>
    <t>22-012A</t>
  </si>
  <si>
    <t>22-013A</t>
  </si>
  <si>
    <t>22-014A</t>
  </si>
  <si>
    <t>22-015A</t>
  </si>
  <si>
    <t>22-016A</t>
  </si>
  <si>
    <t>22-017A</t>
  </si>
  <si>
    <t>22-018A</t>
  </si>
  <si>
    <t>22-019A</t>
  </si>
  <si>
    <t>22-020A</t>
  </si>
  <si>
    <t>22-021A</t>
  </si>
  <si>
    <t>22-022A</t>
  </si>
  <si>
    <t>22-023A</t>
  </si>
  <si>
    <t>22-024A</t>
  </si>
  <si>
    <t>22-025A</t>
  </si>
  <si>
    <t>22-027A</t>
  </si>
  <si>
    <t>22-028A</t>
  </si>
  <si>
    <t>22-029A</t>
  </si>
  <si>
    <t>22-030A</t>
  </si>
  <si>
    <t>22-031A</t>
  </si>
  <si>
    <t>22-032A</t>
  </si>
  <si>
    <t>22-033A</t>
  </si>
  <si>
    <t>22-034A</t>
  </si>
  <si>
    <t>22-035A</t>
  </si>
  <si>
    <t>22-036A</t>
  </si>
  <si>
    <t>22-039A</t>
  </si>
  <si>
    <t>22-040A</t>
  </si>
  <si>
    <t>22-041A</t>
  </si>
  <si>
    <t>22-042A</t>
  </si>
  <si>
    <t>22-043A</t>
  </si>
  <si>
    <t>22-045A</t>
  </si>
  <si>
    <t>22-046A</t>
  </si>
  <si>
    <t>22-047A</t>
  </si>
  <si>
    <t>22-048A</t>
  </si>
  <si>
    <t>22-049A</t>
  </si>
  <si>
    <t>22-050A</t>
  </si>
  <si>
    <t>22-051A</t>
  </si>
  <si>
    <t>22-052A</t>
  </si>
  <si>
    <t>22-053A</t>
  </si>
  <si>
    <t>22-054A</t>
  </si>
  <si>
    <t>22-056A</t>
  </si>
  <si>
    <t>22-057A</t>
  </si>
  <si>
    <t>22-058A</t>
  </si>
  <si>
    <t>22-059A</t>
  </si>
  <si>
    <t>22-061A</t>
  </si>
  <si>
    <t>22-064A</t>
  </si>
  <si>
    <t>22-070A</t>
  </si>
  <si>
    <t>22-072A</t>
  </si>
  <si>
    <t>22-073A</t>
  </si>
  <si>
    <t>22-075A</t>
  </si>
  <si>
    <t>22-076A</t>
  </si>
  <si>
    <t>22-077A</t>
  </si>
  <si>
    <t>22-078A</t>
  </si>
  <si>
    <t>22-079A</t>
  </si>
  <si>
    <t>22-081A</t>
  </si>
  <si>
    <t>22-082A</t>
  </si>
  <si>
    <t>22-084A</t>
  </si>
  <si>
    <t>22-085A</t>
  </si>
  <si>
    <t>22-087A</t>
  </si>
  <si>
    <t>22-088A</t>
  </si>
  <si>
    <t>22-089A</t>
  </si>
  <si>
    <t>22-091A</t>
  </si>
  <si>
    <t>22-092A</t>
  </si>
  <si>
    <t>22-093A</t>
  </si>
  <si>
    <t>22-097A</t>
  </si>
  <si>
    <t>22-098A</t>
  </si>
  <si>
    <t>22-099A</t>
  </si>
  <si>
    <t>22-100A</t>
  </si>
  <si>
    <t>22-101A</t>
  </si>
  <si>
    <t>22-102A</t>
  </si>
  <si>
    <t>22-103A</t>
  </si>
  <si>
    <t>22-104A</t>
  </si>
  <si>
    <t>22-105A</t>
  </si>
  <si>
    <t>22-123A</t>
  </si>
  <si>
    <t>22-129A</t>
  </si>
  <si>
    <t>22-130A</t>
  </si>
  <si>
    <t>22-150A</t>
  </si>
  <si>
    <t>22-151A</t>
  </si>
  <si>
    <t>22-157A</t>
  </si>
  <si>
    <t>22-159A</t>
  </si>
  <si>
    <t>22-161A</t>
  </si>
  <si>
    <t>22-162A</t>
  </si>
  <si>
    <t>22-172A</t>
  </si>
  <si>
    <t>22-173A</t>
  </si>
  <si>
    <t>22-174A</t>
  </si>
  <si>
    <t>22-175A</t>
  </si>
  <si>
    <t>22-176A</t>
  </si>
  <si>
    <t>22-177A</t>
  </si>
  <si>
    <t>22-178A</t>
  </si>
  <si>
    <t>22-179A</t>
  </si>
  <si>
    <t>22-180A</t>
  </si>
  <si>
    <t>22-185A</t>
  </si>
  <si>
    <t>22-186A</t>
  </si>
  <si>
    <t>22-187A</t>
  </si>
  <si>
    <t>22-189A</t>
  </si>
  <si>
    <t>22-190A</t>
  </si>
  <si>
    <t>22-191A</t>
  </si>
  <si>
    <t>22-205A</t>
  </si>
  <si>
    <t>22-206A</t>
  </si>
  <si>
    <t>22-209A</t>
  </si>
  <si>
    <t>22-210A</t>
  </si>
  <si>
    <t>22-211A</t>
  </si>
  <si>
    <t>22-212A</t>
  </si>
  <si>
    <t>22-015A 중복</t>
  </si>
  <si>
    <t>22-030A 중복</t>
  </si>
  <si>
    <t>22-028A 중복</t>
  </si>
  <si>
    <t>22-040A 중복</t>
  </si>
  <si>
    <t>22-047A 중복</t>
  </si>
  <si>
    <t>22-027A 중복</t>
  </si>
  <si>
    <t>22-099A 중복</t>
  </si>
  <si>
    <t>22-103A 중복</t>
  </si>
  <si>
    <t>22-032A 중복</t>
  </si>
  <si>
    <t>22-177A 중복</t>
  </si>
  <si>
    <t>22-210A 중복</t>
  </si>
  <si>
    <t>STBD</t>
  </si>
  <si>
    <t>B-004</t>
    <phoneticPr fontId="1" type="noConversion"/>
  </si>
  <si>
    <t>B-005</t>
    <phoneticPr fontId="1" type="noConversion"/>
  </si>
  <si>
    <t>B-006</t>
    <phoneticPr fontId="1" type="noConversion"/>
  </si>
  <si>
    <t>B-039</t>
    <phoneticPr fontId="1" type="noConversion"/>
  </si>
  <si>
    <t>B-042</t>
    <phoneticPr fontId="1" type="noConversion"/>
  </si>
  <si>
    <t>B-045</t>
    <phoneticPr fontId="1" type="noConversion"/>
  </si>
  <si>
    <t>B-048</t>
    <phoneticPr fontId="1" type="noConversion"/>
  </si>
  <si>
    <t>B-051</t>
    <phoneticPr fontId="1" type="noConversion"/>
  </si>
  <si>
    <t>B-007</t>
    <phoneticPr fontId="1" type="noConversion"/>
  </si>
  <si>
    <t>B-008</t>
    <phoneticPr fontId="1" type="noConversion"/>
  </si>
  <si>
    <t>B-009</t>
    <phoneticPr fontId="1" type="noConversion"/>
  </si>
  <si>
    <t>B-040</t>
    <phoneticPr fontId="1" type="noConversion"/>
  </si>
  <si>
    <t>B-043</t>
    <phoneticPr fontId="1" type="noConversion"/>
  </si>
  <si>
    <t>B-046</t>
    <phoneticPr fontId="1" type="noConversion"/>
  </si>
  <si>
    <t>B-049</t>
    <phoneticPr fontId="1" type="noConversion"/>
  </si>
  <si>
    <t>B-052</t>
    <phoneticPr fontId="1" type="noConversion"/>
  </si>
  <si>
    <t>23-001A</t>
  </si>
  <si>
    <t>23-002A</t>
  </si>
  <si>
    <t>23-003A</t>
  </si>
  <si>
    <t>23-006A</t>
  </si>
  <si>
    <t>23-007A</t>
  </si>
  <si>
    <t>23-009A</t>
  </si>
  <si>
    <t>23-011A</t>
  </si>
  <si>
    <t>23-012A</t>
  </si>
  <si>
    <t>23-013A</t>
  </si>
  <si>
    <t>23-014A</t>
  </si>
  <si>
    <t>23-015A</t>
  </si>
  <si>
    <t>23-016A</t>
  </si>
  <si>
    <t>23-017A</t>
  </si>
  <si>
    <t>23-018A</t>
  </si>
  <si>
    <t>23-019A</t>
  </si>
  <si>
    <t>23-020A</t>
  </si>
  <si>
    <t>23-021A</t>
  </si>
  <si>
    <t>23-022A</t>
  </si>
  <si>
    <t>23-023A</t>
  </si>
  <si>
    <t>23-024A</t>
  </si>
  <si>
    <t>23-025A</t>
  </si>
  <si>
    <t>23-027A</t>
  </si>
  <si>
    <t>23-028A</t>
  </si>
  <si>
    <t>23-029A</t>
  </si>
  <si>
    <t>23-030A</t>
  </si>
  <si>
    <t>23-031A</t>
  </si>
  <si>
    <t>23-032A</t>
  </si>
  <si>
    <t>23-033A</t>
  </si>
  <si>
    <t>23-034A</t>
  </si>
  <si>
    <t>23-035A</t>
  </si>
  <si>
    <t>23-036A</t>
  </si>
  <si>
    <t>23-039A</t>
  </si>
  <si>
    <t>23-040A</t>
  </si>
  <si>
    <t>23-041A</t>
  </si>
  <si>
    <t>23-042A</t>
  </si>
  <si>
    <t>23-043A</t>
  </si>
  <si>
    <t>23-045A</t>
  </si>
  <si>
    <t>23-046A</t>
  </si>
  <si>
    <t>23-047A</t>
  </si>
  <si>
    <t>23-048A</t>
  </si>
  <si>
    <t>23-049A</t>
  </si>
  <si>
    <t>23-050A</t>
  </si>
  <si>
    <t>23-051A</t>
  </si>
  <si>
    <t>23-052A</t>
  </si>
  <si>
    <t>23-053A</t>
  </si>
  <si>
    <t>23-054A</t>
  </si>
  <si>
    <t>23-056A</t>
  </si>
  <si>
    <t>23-057A</t>
  </si>
  <si>
    <t>23-058A</t>
  </si>
  <si>
    <t>23-059A</t>
  </si>
  <si>
    <t>23-061A</t>
  </si>
  <si>
    <t>23-064A</t>
  </si>
  <si>
    <t>23-070A</t>
  </si>
  <si>
    <t>23-072A</t>
  </si>
  <si>
    <t>23-073A</t>
  </si>
  <si>
    <t>23-075A</t>
  </si>
  <si>
    <t>23-076A</t>
  </si>
  <si>
    <t>23-077A</t>
  </si>
  <si>
    <t>23-078A</t>
  </si>
  <si>
    <t>23-079A</t>
  </si>
  <si>
    <t>23-081A</t>
  </si>
  <si>
    <t>23-082A</t>
  </si>
  <si>
    <t>23-084A</t>
  </si>
  <si>
    <t>23-085A</t>
  </si>
  <si>
    <t>23-087A</t>
  </si>
  <si>
    <t>23-088A</t>
  </si>
  <si>
    <t>23-089A</t>
  </si>
  <si>
    <t>23-091A</t>
  </si>
  <si>
    <t>23-092A</t>
  </si>
  <si>
    <t>23-093A</t>
  </si>
  <si>
    <t>23-097A</t>
  </si>
  <si>
    <t>23-098A</t>
  </si>
  <si>
    <t>23-099A</t>
  </si>
  <si>
    <t>23-100A</t>
  </si>
  <si>
    <t>23-101A</t>
  </si>
  <si>
    <t>23-102A</t>
  </si>
  <si>
    <t>23-103A</t>
  </si>
  <si>
    <t>23-104A</t>
  </si>
  <si>
    <t>23-105A</t>
  </si>
  <si>
    <t>23-123A</t>
  </si>
  <si>
    <t>23-129A</t>
  </si>
  <si>
    <t>23-130A</t>
  </si>
  <si>
    <t>23-150A</t>
  </si>
  <si>
    <t>23-151A</t>
  </si>
  <si>
    <t>23-157A</t>
  </si>
  <si>
    <t>23-159A</t>
  </si>
  <si>
    <t>23-161A</t>
  </si>
  <si>
    <t>23-162A</t>
  </si>
  <si>
    <t>23-172A</t>
  </si>
  <si>
    <t>23-173A</t>
  </si>
  <si>
    <t>23-174A</t>
  </si>
  <si>
    <t>23-175A</t>
  </si>
  <si>
    <t>23-176A</t>
  </si>
  <si>
    <t>23-177A</t>
  </si>
  <si>
    <t>23-178A</t>
  </si>
  <si>
    <t>23-179A</t>
  </si>
  <si>
    <t>23-180A</t>
  </si>
  <si>
    <t>23-185A</t>
  </si>
  <si>
    <t>23-186A</t>
  </si>
  <si>
    <t>23-187A</t>
  </si>
  <si>
    <t>23-189A</t>
  </si>
  <si>
    <t>23-190A</t>
  </si>
  <si>
    <t>23-191A</t>
  </si>
  <si>
    <t>23-205A</t>
  </si>
  <si>
    <t>23-206A</t>
  </si>
  <si>
    <t>23-209A</t>
  </si>
  <si>
    <t>23-210A</t>
  </si>
  <si>
    <t>23-211A</t>
  </si>
  <si>
    <t>23-212A</t>
  </si>
  <si>
    <t>23-015A 중복</t>
  </si>
  <si>
    <t>23-030A 중복</t>
  </si>
  <si>
    <t>23-028A 중복</t>
  </si>
  <si>
    <t>23-040A 중복</t>
  </si>
  <si>
    <t>23-047A 중복</t>
  </si>
  <si>
    <t>23-027A 중복</t>
  </si>
  <si>
    <t>23-099A 중복</t>
  </si>
  <si>
    <t>23-103A 중복</t>
  </si>
  <si>
    <t>23-032A 중복</t>
  </si>
  <si>
    <t>23-177A 중복</t>
  </si>
  <si>
    <t>23-210A 중복</t>
  </si>
  <si>
    <t>TU-031</t>
    <phoneticPr fontId="1" type="noConversion"/>
  </si>
  <si>
    <t>TU-032</t>
    <phoneticPr fontId="1" type="noConversion"/>
  </si>
  <si>
    <t>TU-038</t>
    <phoneticPr fontId="1" type="noConversion"/>
  </si>
  <si>
    <t>FB2-500</t>
    <phoneticPr fontId="1" type="noConversion"/>
  </si>
  <si>
    <t>FB3-500</t>
    <phoneticPr fontId="1" type="noConversion"/>
  </si>
  <si>
    <t>ST2-100</t>
    <phoneticPr fontId="1" type="noConversion"/>
  </si>
  <si>
    <t>SF2-100</t>
    <phoneticPr fontId="1" type="noConversion"/>
  </si>
  <si>
    <t>OPEN GRAITING</t>
    <phoneticPr fontId="1" type="noConversion"/>
  </si>
  <si>
    <t>SEAT</t>
    <phoneticPr fontId="1" type="noConversion"/>
  </si>
  <si>
    <t>SHAFT COUPLING GUARD</t>
    <phoneticPr fontId="1" type="noConversion"/>
  </si>
  <si>
    <t>SHAFT COUPLING GUARD</t>
    <phoneticPr fontId="1" type="noConversion"/>
  </si>
  <si>
    <t>PIPE SUPPORT</t>
    <phoneticPr fontId="1" type="noConversion"/>
  </si>
  <si>
    <t>HAND RAIL</t>
    <phoneticPr fontId="1" type="noConversion"/>
  </si>
  <si>
    <t>SKID-1 소계</t>
    <phoneticPr fontId="1" type="noConversion"/>
  </si>
  <si>
    <t>PORT</t>
    <phoneticPr fontId="1" type="noConversion"/>
  </si>
  <si>
    <t>SKID</t>
    <phoneticPr fontId="1" type="noConversion"/>
  </si>
  <si>
    <t>SKID-2 소계</t>
    <phoneticPr fontId="1" type="noConversion"/>
  </si>
  <si>
    <t>SKID-3 소계</t>
    <phoneticPr fontId="1" type="noConversion"/>
  </si>
  <si>
    <t>STBD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</si>
</sst>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_ "/>
    <numFmt numFmtId="178" formatCode="yy\/mm\/dd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6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name val="맑은 고딕"/>
      <family val="3"/>
      <charset val="129"/>
    </font>
    <font>
      <sz val="10"/>
      <name val="새굴림"/>
      <family val="1"/>
      <charset val="129"/>
    </font>
    <font>
      <sz val="22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>
      <alignment vertical="center"/>
    </xf>
    <xf numFmtId="0" fontId="10" fillId="0" borderId="0"/>
    <xf numFmtId="0" fontId="7" fillId="0" borderId="0">
      <alignment vertical="center"/>
    </xf>
    <xf numFmtId="0" fontId="7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43" fontId="5" fillId="0" borderId="2" xfId="0" applyNumberFormat="1" applyFont="1" applyBorder="1">
      <alignment vertical="center"/>
    </xf>
    <xf numFmtId="0" fontId="7" fillId="0" borderId="0" xfId="2">
      <alignment vertical="center"/>
    </xf>
    <xf numFmtId="177" fontId="9" fillId="0" borderId="0" xfId="2" applyNumberFormat="1" applyFont="1" applyAlignment="1">
      <alignment horizontal="center" vertical="center" shrinkToFit="1"/>
    </xf>
    <xf numFmtId="0" fontId="7" fillId="0" borderId="0" xfId="2" applyAlignment="1">
      <alignment horizontal="center" vertical="center" wrapText="1"/>
    </xf>
    <xf numFmtId="0" fontId="9" fillId="0" borderId="0" xfId="2" applyFont="1">
      <alignment vertical="center"/>
    </xf>
    <xf numFmtId="176" fontId="9" fillId="0" borderId="1" xfId="1" applyNumberFormat="1" applyFont="1" applyFill="1" applyBorder="1" applyAlignment="1">
      <alignment horizontal="center" vertical="center"/>
    </xf>
    <xf numFmtId="176" fontId="9" fillId="0" borderId="1" xfId="3" applyNumberFormat="1" applyFont="1" applyBorder="1" applyAlignment="1">
      <alignment horizontal="center" vertical="center" wrapText="1"/>
    </xf>
    <xf numFmtId="176" fontId="13" fillId="2" borderId="0" xfId="3" applyNumberFormat="1" applyFont="1" applyFill="1">
      <alignment vertical="center"/>
    </xf>
    <xf numFmtId="176" fontId="9" fillId="2" borderId="1" xfId="3" applyNumberFormat="1" applyFont="1" applyFill="1" applyBorder="1" applyAlignment="1">
      <alignment horizontal="center" vertical="center" wrapText="1"/>
    </xf>
    <xf numFmtId="176" fontId="9" fillId="0" borderId="1" xfId="1" applyNumberFormat="1" applyFont="1" applyFill="1" applyBorder="1">
      <alignment vertical="center"/>
    </xf>
    <xf numFmtId="0" fontId="14" fillId="0" borderId="0" xfId="2" applyFont="1">
      <alignment vertical="center"/>
    </xf>
    <xf numFmtId="0" fontId="5" fillId="0" borderId="1" xfId="0" applyFont="1" applyBorder="1" applyAlignment="1">
      <alignment horizontal="center" vertical="center"/>
    </xf>
    <xf numFmtId="176" fontId="5" fillId="0" borderId="1" xfId="1" applyNumberFormat="1" applyFont="1" applyFill="1" applyBorder="1">
      <alignment vertical="center"/>
    </xf>
    <xf numFmtId="0" fontId="13" fillId="0" borderId="0" xfId="2" applyFont="1">
      <alignment vertical="center"/>
    </xf>
    <xf numFmtId="0" fontId="13" fillId="2" borderId="0" xfId="2" applyFont="1" applyFill="1">
      <alignment vertical="center"/>
    </xf>
    <xf numFmtId="0" fontId="13" fillId="0" borderId="0" xfId="2" applyFont="1" applyAlignment="1">
      <alignment horizontal="center" vertical="center"/>
    </xf>
    <xf numFmtId="41" fontId="9" fillId="0" borderId="0" xfId="3" applyFont="1">
      <alignment vertical="center"/>
    </xf>
    <xf numFmtId="178" fontId="9" fillId="0" borderId="0" xfId="2" applyNumberFormat="1" applyFont="1" applyAlignment="1">
      <alignment horizontal="center" vertical="center" shrinkToFit="1"/>
    </xf>
    <xf numFmtId="177" fontId="9" fillId="2" borderId="0" xfId="2" applyNumberFormat="1" applyFont="1" applyFill="1" applyAlignment="1">
      <alignment horizontal="center" vertical="center" shrinkToFit="1"/>
    </xf>
    <xf numFmtId="176" fontId="9" fillId="0" borderId="0" xfId="3" applyNumberFormat="1" applyFont="1" applyAlignment="1">
      <alignment horizontal="center" vertical="center"/>
    </xf>
    <xf numFmtId="178" fontId="3" fillId="0" borderId="1" xfId="4" applyNumberFormat="1" applyFont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 wrapText="1"/>
    </xf>
    <xf numFmtId="176" fontId="15" fillId="0" borderId="0" xfId="3" applyNumberFormat="1" applyFont="1" applyAlignment="1">
      <alignment horizontal="center" vertical="center"/>
    </xf>
    <xf numFmtId="176" fontId="9" fillId="2" borderId="0" xfId="3" applyNumberFormat="1" applyFont="1" applyFill="1" applyAlignment="1">
      <alignment horizontal="center" vertical="center"/>
    </xf>
    <xf numFmtId="176" fontId="13" fillId="0" borderId="0" xfId="3" applyNumberFormat="1" applyFo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3" applyNumberFormat="1" applyFont="1" applyAlignment="1">
      <alignment horizontal="center" vertical="center"/>
    </xf>
    <xf numFmtId="0" fontId="5" fillId="0" borderId="1" xfId="4" applyFont="1" applyBorder="1" applyAlignment="1">
      <alignment horizontal="center" vertical="center" wrapText="1"/>
    </xf>
    <xf numFmtId="177" fontId="5" fillId="0" borderId="1" xfId="4" applyNumberFormat="1" applyFont="1" applyBorder="1" applyAlignment="1">
      <alignment horizontal="center" vertical="center" wrapText="1" shrinkToFit="1"/>
    </xf>
    <xf numFmtId="0" fontId="9" fillId="0" borderId="1" xfId="3" applyNumberFormat="1" applyFont="1" applyBorder="1" applyAlignment="1">
      <alignment horizontal="center" vertical="center" wrapText="1" shrinkToFi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16" fillId="3" borderId="1" xfId="0" applyNumberFormat="1" applyFont="1" applyFill="1" applyBorder="1">
      <alignment vertical="center"/>
    </xf>
    <xf numFmtId="43" fontId="16" fillId="3" borderId="1" xfId="0" applyNumberFormat="1" applyFont="1" applyFill="1" applyBorder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9" fillId="0" borderId="1" xfId="2" applyFont="1" applyFill="1" applyBorder="1" applyAlignment="1">
      <alignment horizontal="center" vertical="center"/>
    </xf>
    <xf numFmtId="176" fontId="5" fillId="0" borderId="1" xfId="0" applyNumberFormat="1" applyFont="1" applyFill="1" applyBorder="1">
      <alignment vertical="center"/>
    </xf>
    <xf numFmtId="177" fontId="9" fillId="0" borderId="1" xfId="2" applyNumberFormat="1" applyFont="1" applyFill="1" applyBorder="1" applyAlignment="1">
      <alignment horizontal="center" vertical="center" shrinkToFit="1"/>
    </xf>
    <xf numFmtId="176" fontId="9" fillId="0" borderId="1" xfId="3" applyNumberFormat="1" applyFont="1" applyFill="1" applyBorder="1" applyAlignment="1">
      <alignment horizontal="center" vertical="center"/>
    </xf>
    <xf numFmtId="176" fontId="9" fillId="0" borderId="1" xfId="3" applyNumberFormat="1" applyFont="1" applyFill="1" applyBorder="1" applyAlignment="1">
      <alignment horizontal="center" vertical="center" wrapText="1"/>
    </xf>
    <xf numFmtId="0" fontId="6" fillId="0" borderId="1" xfId="0" applyFont="1" applyFill="1" applyBorder="1">
      <alignment vertical="center"/>
    </xf>
    <xf numFmtId="178" fontId="9" fillId="0" borderId="1" xfId="3" applyNumberFormat="1" applyFont="1" applyFill="1" applyBorder="1" applyAlignment="1">
      <alignment horizontal="center" vertical="center"/>
    </xf>
    <xf numFmtId="0" fontId="9" fillId="0" borderId="4" xfId="3" applyNumberFormat="1" applyFont="1" applyFill="1" applyBorder="1" applyAlignment="1">
      <alignment horizontal="center" vertical="center"/>
    </xf>
    <xf numFmtId="41" fontId="9" fillId="0" borderId="1" xfId="3" applyFont="1" applyFill="1" applyBorder="1" applyAlignment="1">
      <alignment horizontal="center" vertical="center"/>
    </xf>
    <xf numFmtId="0" fontId="9" fillId="0" borderId="0" xfId="2" applyFont="1" applyFill="1">
      <alignment vertical="center"/>
    </xf>
    <xf numFmtId="13" fontId="9" fillId="0" borderId="1" xfId="3" applyNumberFormat="1" applyFont="1" applyFill="1" applyBorder="1" applyAlignment="1">
      <alignment horizontal="center" vertical="center"/>
    </xf>
    <xf numFmtId="0" fontId="9" fillId="0" borderId="1" xfId="3" applyNumberFormat="1" applyFont="1" applyFill="1" applyBorder="1" applyAlignment="1">
      <alignment horizontal="center" vertical="center"/>
    </xf>
    <xf numFmtId="41" fontId="9" fillId="0" borderId="1" xfId="2" applyNumberFormat="1" applyFont="1" applyFill="1" applyBorder="1">
      <alignment vertical="center"/>
    </xf>
    <xf numFmtId="0" fontId="9" fillId="0" borderId="1" xfId="2" applyFont="1" applyFill="1" applyBorder="1" applyAlignment="1">
      <alignment horizontal="center" vertical="center" wrapText="1"/>
    </xf>
    <xf numFmtId="41" fontId="12" fillId="0" borderId="1" xfId="3" applyFont="1" applyFill="1" applyBorder="1" applyAlignment="1">
      <alignment horizontal="right" vertical="center" shrinkToFit="1"/>
    </xf>
    <xf numFmtId="41" fontId="11" fillId="0" borderId="1" xfId="3" applyFont="1" applyFill="1" applyBorder="1" applyAlignment="1">
      <alignment horizontal="center" vertical="center"/>
    </xf>
    <xf numFmtId="41" fontId="11" fillId="0" borderId="1" xfId="3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1" fontId="9" fillId="0" borderId="1" xfId="3" applyFont="1" applyFill="1" applyBorder="1" applyAlignment="1">
      <alignment horizontal="center" vertical="center" wrapText="1"/>
    </xf>
    <xf numFmtId="41" fontId="9" fillId="0" borderId="1" xfId="3" applyFont="1" applyFill="1" applyBorder="1" applyAlignment="1">
      <alignment horizontal="right" vertical="center"/>
    </xf>
    <xf numFmtId="0" fontId="9" fillId="0" borderId="1" xfId="5" applyFont="1" applyFill="1" applyBorder="1" applyAlignment="1">
      <alignment horizontal="center" vertical="center"/>
    </xf>
    <xf numFmtId="178" fontId="11" fillId="0" borderId="1" xfId="2" applyNumberFormat="1" applyFont="1" applyFill="1" applyBorder="1" applyAlignment="1">
      <alignment horizontal="center" vertical="center"/>
    </xf>
    <xf numFmtId="178" fontId="9" fillId="0" borderId="1" xfId="2" applyNumberFormat="1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/>
    </xf>
    <xf numFmtId="0" fontId="9" fillId="0" borderId="1" xfId="6" applyFont="1" applyFill="1" applyBorder="1" applyAlignment="1">
      <alignment horizontal="center" vertical="center" wrapText="1"/>
    </xf>
    <xf numFmtId="177" fontId="9" fillId="0" borderId="3" xfId="2" applyNumberFormat="1" applyFont="1" applyFill="1" applyBorder="1" applyAlignment="1">
      <alignment horizontal="center" vertical="center" shrinkToFit="1"/>
    </xf>
    <xf numFmtId="177" fontId="9" fillId="3" borderId="1" xfId="2" applyNumberFormat="1" applyFont="1" applyFill="1" applyBorder="1" applyAlignment="1">
      <alignment horizontal="center" vertical="center" shrinkToFit="1"/>
    </xf>
    <xf numFmtId="0" fontId="16" fillId="3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7">
    <cellStyle name="쉼표 [0]" xfId="1" builtinId="6"/>
    <cellStyle name="쉼표 [0] 2" xfId="3"/>
    <cellStyle name="표준" xfId="0" builtinId="0"/>
    <cellStyle name="표준 2" xfId="2"/>
    <cellStyle name="표준 28" xfId="6"/>
    <cellStyle name="표준 3 3" xfId="5"/>
    <cellStyle name="표준_견적서(영성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94"/>
  <sheetViews>
    <sheetView topLeftCell="A25" zoomScale="85" zoomScaleNormal="85" workbookViewId="0">
      <selection activeCell="D12" sqref="D12"/>
    </sheetView>
  </sheetViews>
  <sheetFormatPr defaultRowHeight="16.5" x14ac:dyDescent="0.3"/>
  <cols>
    <col min="1" max="1" width="3.625" style="35" customWidth="1"/>
    <col min="2" max="2" width="7.375" style="35" bestFit="1" customWidth="1"/>
    <col min="3" max="3" width="11.625" style="35" customWidth="1"/>
    <col min="4" max="4" width="27.625" style="35" bestFit="1" customWidth="1"/>
    <col min="5" max="5" width="13.625" style="35" bestFit="1" customWidth="1"/>
    <col min="6" max="6" width="13.75" style="35" bestFit="1" customWidth="1"/>
    <col min="7" max="7" width="14.125" bestFit="1" customWidth="1"/>
    <col min="9" max="9" width="14.125" style="1" bestFit="1" customWidth="1"/>
    <col min="10" max="10" width="10.875" style="1" bestFit="1" customWidth="1"/>
    <col min="11" max="11" width="9.75" style="1" bestFit="1" customWidth="1"/>
    <col min="12" max="12" width="9" style="1"/>
  </cols>
  <sheetData>
    <row r="1" spans="1:11" x14ac:dyDescent="0.3">
      <c r="A1" s="2"/>
      <c r="B1" s="2"/>
      <c r="C1" s="2"/>
      <c r="D1" s="2"/>
      <c r="E1" s="2"/>
      <c r="F1" s="2"/>
      <c r="G1" s="2"/>
      <c r="H1" s="2"/>
    </row>
    <row r="2" spans="1:11" ht="30" customHeight="1" x14ac:dyDescent="0.3">
      <c r="A2" s="2"/>
      <c r="B2" s="34" t="s">
        <v>32</v>
      </c>
      <c r="C2" s="34"/>
      <c r="E2" s="2"/>
      <c r="F2" s="2"/>
      <c r="G2" s="2"/>
      <c r="H2" s="2"/>
    </row>
    <row r="3" spans="1:11" ht="24.95" customHeight="1" x14ac:dyDescent="0.3">
      <c r="A3" s="2"/>
      <c r="B3" s="2"/>
      <c r="C3" s="2"/>
      <c r="D3" s="2"/>
      <c r="E3" s="2"/>
      <c r="F3" s="2"/>
      <c r="G3" s="2"/>
      <c r="H3" s="2"/>
    </row>
    <row r="4" spans="1:11" ht="24.95" customHeight="1" x14ac:dyDescent="0.3">
      <c r="A4" s="2"/>
      <c r="B4" s="14" t="s">
        <v>26</v>
      </c>
      <c r="C4" s="14" t="s">
        <v>27</v>
      </c>
      <c r="D4" s="14" t="s">
        <v>28</v>
      </c>
      <c r="E4" s="14" t="s">
        <v>0</v>
      </c>
      <c r="F4" s="14" t="s">
        <v>1</v>
      </c>
      <c r="G4" s="2"/>
      <c r="H4" s="2"/>
    </row>
    <row r="5" spans="1:11" ht="24.95" customHeight="1" x14ac:dyDescent="0.3">
      <c r="A5" s="2"/>
      <c r="B5" s="40" t="s">
        <v>727</v>
      </c>
      <c r="C5" s="40" t="s">
        <v>726</v>
      </c>
      <c r="D5" s="42" t="s">
        <v>57</v>
      </c>
      <c r="E5" s="15">
        <v>1747</v>
      </c>
      <c r="F5" s="41"/>
      <c r="G5" s="2"/>
      <c r="H5" s="2"/>
    </row>
    <row r="6" spans="1:11" ht="24.95" customHeight="1" x14ac:dyDescent="0.3">
      <c r="A6" s="2"/>
      <c r="B6" s="40" t="s">
        <v>727</v>
      </c>
      <c r="C6" s="40" t="s">
        <v>726</v>
      </c>
      <c r="D6" s="42" t="s">
        <v>7</v>
      </c>
      <c r="E6" s="15">
        <v>4709.6000000000004</v>
      </c>
      <c r="F6" s="41"/>
      <c r="G6" s="2"/>
      <c r="H6" s="2"/>
      <c r="K6" s="38"/>
    </row>
    <row r="7" spans="1:11" ht="24.95" customHeight="1" x14ac:dyDescent="0.3">
      <c r="A7" s="2"/>
      <c r="B7" s="40" t="s">
        <v>727</v>
      </c>
      <c r="C7" s="40" t="s">
        <v>726</v>
      </c>
      <c r="D7" s="42" t="s">
        <v>58</v>
      </c>
      <c r="E7" s="15">
        <v>1778.8</v>
      </c>
      <c r="F7" s="41"/>
      <c r="G7" s="2"/>
      <c r="H7" s="2"/>
      <c r="J7" s="38"/>
      <c r="K7" s="38"/>
    </row>
    <row r="8" spans="1:11" ht="24.95" customHeight="1" x14ac:dyDescent="0.3">
      <c r="A8" s="2"/>
      <c r="B8" s="40" t="s">
        <v>727</v>
      </c>
      <c r="C8" s="40" t="s">
        <v>726</v>
      </c>
      <c r="D8" s="40" t="s">
        <v>720</v>
      </c>
      <c r="E8" s="15">
        <v>1436.9</v>
      </c>
      <c r="F8" s="43"/>
      <c r="G8" s="2"/>
      <c r="H8" s="2"/>
      <c r="K8" s="38"/>
    </row>
    <row r="9" spans="1:11" ht="24.95" customHeight="1" x14ac:dyDescent="0.3">
      <c r="A9" s="2"/>
      <c r="B9" s="40" t="s">
        <v>727</v>
      </c>
      <c r="C9" s="40" t="s">
        <v>726</v>
      </c>
      <c r="D9" s="44" t="s">
        <v>722</v>
      </c>
      <c r="E9" s="15">
        <v>69</v>
      </c>
      <c r="F9" s="41"/>
      <c r="G9" s="2"/>
      <c r="H9" s="2"/>
      <c r="J9" s="38"/>
    </row>
    <row r="10" spans="1:11" ht="24.95" customHeight="1" x14ac:dyDescent="0.3">
      <c r="A10" s="2"/>
      <c r="B10" s="40" t="s">
        <v>727</v>
      </c>
      <c r="C10" s="40" t="s">
        <v>726</v>
      </c>
      <c r="D10" s="42" t="s">
        <v>719</v>
      </c>
      <c r="E10" s="15">
        <v>263</v>
      </c>
      <c r="F10" s="41"/>
      <c r="G10" s="2"/>
      <c r="H10" s="2"/>
      <c r="J10" s="38"/>
    </row>
    <row r="11" spans="1:11" ht="24.95" customHeight="1" x14ac:dyDescent="0.3">
      <c r="A11" s="2"/>
      <c r="B11" s="40" t="s">
        <v>727</v>
      </c>
      <c r="C11" s="40" t="s">
        <v>726</v>
      </c>
      <c r="D11" s="42" t="s">
        <v>72</v>
      </c>
      <c r="E11" s="45">
        <v>67.099999999999994</v>
      </c>
      <c r="F11" s="41"/>
      <c r="G11" s="2"/>
      <c r="H11" s="2"/>
      <c r="J11" s="38"/>
    </row>
    <row r="12" spans="1:11" ht="24.95" customHeight="1" x14ac:dyDescent="0.3">
      <c r="A12" s="2"/>
      <c r="B12" s="40" t="s">
        <v>727</v>
      </c>
      <c r="C12" s="40" t="s">
        <v>726</v>
      </c>
      <c r="D12" s="44" t="s">
        <v>723</v>
      </c>
      <c r="E12" s="45">
        <v>767.97</v>
      </c>
      <c r="F12" s="41"/>
      <c r="G12" s="2"/>
      <c r="H12" s="2"/>
      <c r="J12" s="39"/>
    </row>
    <row r="13" spans="1:11" ht="24.95" customHeight="1" x14ac:dyDescent="0.3">
      <c r="A13" s="2"/>
      <c r="B13" s="40" t="s">
        <v>727</v>
      </c>
      <c r="C13" s="40" t="s">
        <v>726</v>
      </c>
      <c r="D13" s="42" t="s">
        <v>209</v>
      </c>
      <c r="E13" s="45">
        <v>382.2</v>
      </c>
      <c r="F13" s="41"/>
      <c r="G13" s="2"/>
      <c r="H13" s="2"/>
    </row>
    <row r="14" spans="1:11" ht="24.95" customHeight="1" x14ac:dyDescent="0.3">
      <c r="A14" s="2"/>
      <c r="B14" s="40" t="s">
        <v>727</v>
      </c>
      <c r="C14" s="40" t="s">
        <v>726</v>
      </c>
      <c r="D14" s="42" t="s">
        <v>36</v>
      </c>
      <c r="E14" s="46">
        <v>187</v>
      </c>
      <c r="F14" s="41"/>
      <c r="G14" s="2"/>
      <c r="H14" s="2"/>
    </row>
    <row r="15" spans="1:11" ht="24.95" customHeight="1" x14ac:dyDescent="0.3">
      <c r="A15" s="2"/>
      <c r="B15" s="40" t="s">
        <v>727</v>
      </c>
      <c r="C15" s="40" t="s">
        <v>726</v>
      </c>
      <c r="D15" s="44" t="s">
        <v>724</v>
      </c>
      <c r="E15" s="46">
        <v>51.2</v>
      </c>
      <c r="F15" s="41"/>
      <c r="G15" s="2"/>
      <c r="H15" s="2"/>
    </row>
    <row r="16" spans="1:11" ht="24.95" customHeight="1" x14ac:dyDescent="0.3">
      <c r="A16" s="2"/>
      <c r="B16" s="40" t="s">
        <v>727</v>
      </c>
      <c r="C16" s="40" t="s">
        <v>726</v>
      </c>
      <c r="D16" s="42" t="s">
        <v>45</v>
      </c>
      <c r="E16" s="46">
        <v>62.4</v>
      </c>
      <c r="F16" s="41"/>
      <c r="G16" s="2"/>
      <c r="H16" s="2"/>
    </row>
    <row r="17" spans="1:10" ht="24.95" customHeight="1" x14ac:dyDescent="0.3">
      <c r="A17" s="2"/>
      <c r="B17" s="71" t="s">
        <v>725</v>
      </c>
      <c r="C17" s="72"/>
      <c r="D17" s="73"/>
      <c r="E17" s="46">
        <f>SUM(E5:E16)</f>
        <v>11522.17</v>
      </c>
      <c r="F17" s="41"/>
      <c r="G17" s="2"/>
      <c r="H17" s="2"/>
    </row>
    <row r="18" spans="1:10" ht="24.95" customHeight="1" x14ac:dyDescent="0.3">
      <c r="A18" s="2"/>
      <c r="B18" s="40" t="s">
        <v>727</v>
      </c>
      <c r="C18" s="42" t="s">
        <v>453</v>
      </c>
      <c r="D18" s="42" t="s">
        <v>57</v>
      </c>
      <c r="E18" s="15">
        <v>1747</v>
      </c>
      <c r="F18" s="41"/>
      <c r="G18" s="2"/>
      <c r="H18" s="2"/>
    </row>
    <row r="19" spans="1:10" ht="24.95" customHeight="1" x14ac:dyDescent="0.3">
      <c r="A19" s="2"/>
      <c r="B19" s="40" t="s">
        <v>727</v>
      </c>
      <c r="C19" s="42" t="s">
        <v>453</v>
      </c>
      <c r="D19" s="42" t="s">
        <v>7</v>
      </c>
      <c r="E19" s="15">
        <v>4709.6000000000004</v>
      </c>
      <c r="F19" s="41"/>
      <c r="G19" s="2"/>
      <c r="H19" s="2"/>
    </row>
    <row r="20" spans="1:10" ht="27.75" customHeight="1" x14ac:dyDescent="0.3">
      <c r="A20" s="2"/>
      <c r="B20" s="40" t="s">
        <v>727</v>
      </c>
      <c r="C20" s="42" t="s">
        <v>453</v>
      </c>
      <c r="D20" s="42" t="s">
        <v>58</v>
      </c>
      <c r="E20" s="15">
        <v>1778.8</v>
      </c>
      <c r="F20" s="47"/>
      <c r="G20" s="3"/>
      <c r="H20" s="2"/>
    </row>
    <row r="21" spans="1:10" ht="24.95" customHeight="1" x14ac:dyDescent="0.3">
      <c r="A21" s="2"/>
      <c r="B21" s="40" t="s">
        <v>727</v>
      </c>
      <c r="C21" s="42" t="s">
        <v>453</v>
      </c>
      <c r="D21" s="40" t="s">
        <v>720</v>
      </c>
      <c r="E21" s="15">
        <v>1436.9</v>
      </c>
      <c r="F21" s="41"/>
      <c r="G21" s="2"/>
      <c r="H21" s="2"/>
    </row>
    <row r="22" spans="1:10" ht="24.95" customHeight="1" x14ac:dyDescent="0.3">
      <c r="A22" s="2"/>
      <c r="B22" s="40" t="s">
        <v>727</v>
      </c>
      <c r="C22" s="42" t="s">
        <v>453</v>
      </c>
      <c r="D22" s="44" t="s">
        <v>722</v>
      </c>
      <c r="E22" s="15">
        <v>69</v>
      </c>
      <c r="F22" s="41"/>
      <c r="G22" s="2"/>
      <c r="H22" s="2"/>
    </row>
    <row r="23" spans="1:10" ht="24.95" customHeight="1" x14ac:dyDescent="0.3">
      <c r="A23" s="2"/>
      <c r="B23" s="40" t="s">
        <v>727</v>
      </c>
      <c r="C23" s="42" t="s">
        <v>453</v>
      </c>
      <c r="D23" s="42" t="s">
        <v>719</v>
      </c>
      <c r="E23" s="15">
        <v>263</v>
      </c>
      <c r="F23" s="41"/>
      <c r="G23" s="2"/>
      <c r="H23" s="2"/>
      <c r="J23" s="38"/>
    </row>
    <row r="24" spans="1:10" ht="24.95" customHeight="1" x14ac:dyDescent="0.3">
      <c r="A24" s="2"/>
      <c r="B24" s="40" t="s">
        <v>727</v>
      </c>
      <c r="C24" s="42" t="s">
        <v>453</v>
      </c>
      <c r="D24" s="42" t="s">
        <v>72</v>
      </c>
      <c r="E24" s="45">
        <v>67.099999999999994</v>
      </c>
      <c r="F24" s="41"/>
      <c r="G24" s="2"/>
      <c r="H24" s="2"/>
    </row>
    <row r="25" spans="1:10" ht="24.95" customHeight="1" x14ac:dyDescent="0.3">
      <c r="A25" s="2"/>
      <c r="B25" s="40" t="s">
        <v>727</v>
      </c>
      <c r="C25" s="42" t="s">
        <v>453</v>
      </c>
      <c r="D25" s="44" t="s">
        <v>723</v>
      </c>
      <c r="E25" s="45">
        <v>767.97</v>
      </c>
      <c r="F25" s="41"/>
      <c r="G25" s="2"/>
      <c r="H25" s="2"/>
    </row>
    <row r="26" spans="1:10" ht="24.95" customHeight="1" x14ac:dyDescent="0.3">
      <c r="A26" s="2"/>
      <c r="B26" s="40" t="s">
        <v>727</v>
      </c>
      <c r="C26" s="42" t="s">
        <v>453</v>
      </c>
      <c r="D26" s="42" t="s">
        <v>209</v>
      </c>
      <c r="E26" s="45">
        <v>382.2</v>
      </c>
      <c r="F26" s="41"/>
      <c r="G26" s="2"/>
      <c r="H26" s="2"/>
    </row>
    <row r="27" spans="1:10" ht="24.95" customHeight="1" x14ac:dyDescent="0.3">
      <c r="A27" s="2"/>
      <c r="B27" s="40" t="s">
        <v>727</v>
      </c>
      <c r="C27" s="42" t="s">
        <v>453</v>
      </c>
      <c r="D27" s="42" t="s">
        <v>36</v>
      </c>
      <c r="E27" s="46">
        <v>187</v>
      </c>
      <c r="F27" s="41"/>
      <c r="G27" s="2"/>
      <c r="H27" s="2"/>
    </row>
    <row r="28" spans="1:10" ht="24.95" customHeight="1" x14ac:dyDescent="0.3">
      <c r="A28" s="2"/>
      <c r="B28" s="40" t="s">
        <v>727</v>
      </c>
      <c r="C28" s="42" t="s">
        <v>453</v>
      </c>
      <c r="D28" s="44" t="s">
        <v>724</v>
      </c>
      <c r="E28" s="46">
        <v>51.2</v>
      </c>
      <c r="F28" s="41"/>
      <c r="G28" s="2"/>
      <c r="H28" s="2"/>
    </row>
    <row r="29" spans="1:10" ht="24.95" customHeight="1" x14ac:dyDescent="0.3">
      <c r="A29" s="2"/>
      <c r="B29" s="40" t="s">
        <v>727</v>
      </c>
      <c r="C29" s="42" t="s">
        <v>453</v>
      </c>
      <c r="D29" s="42" t="s">
        <v>45</v>
      </c>
      <c r="E29" s="46">
        <v>62.4</v>
      </c>
      <c r="F29" s="41"/>
      <c r="G29" s="2"/>
      <c r="H29" s="2"/>
    </row>
    <row r="30" spans="1:10" ht="24.95" customHeight="1" x14ac:dyDescent="0.3">
      <c r="A30" s="2"/>
      <c r="B30" s="71" t="s">
        <v>728</v>
      </c>
      <c r="C30" s="72"/>
      <c r="D30" s="73"/>
      <c r="E30" s="46">
        <f>SUM(E18:E29)</f>
        <v>11522.17</v>
      </c>
      <c r="F30" s="41"/>
      <c r="G30" s="2"/>
      <c r="H30" s="2"/>
    </row>
    <row r="31" spans="1:10" ht="24.95" customHeight="1" x14ac:dyDescent="0.3">
      <c r="A31" s="2"/>
      <c r="B31" s="40" t="s">
        <v>727</v>
      </c>
      <c r="C31" s="42" t="s">
        <v>730</v>
      </c>
      <c r="D31" s="42" t="s">
        <v>57</v>
      </c>
      <c r="E31" s="15">
        <v>1747</v>
      </c>
      <c r="F31" s="41"/>
      <c r="G31" s="2"/>
      <c r="H31" s="2"/>
    </row>
    <row r="32" spans="1:10" ht="24.95" customHeight="1" x14ac:dyDescent="0.3">
      <c r="A32" s="2"/>
      <c r="B32" s="40" t="s">
        <v>727</v>
      </c>
      <c r="C32" s="42" t="s">
        <v>730</v>
      </c>
      <c r="D32" s="42" t="s">
        <v>7</v>
      </c>
      <c r="E32" s="15">
        <v>4709.6000000000004</v>
      </c>
      <c r="F32" s="41"/>
      <c r="G32" s="2"/>
      <c r="H32" s="2"/>
    </row>
    <row r="33" spans="1:10" ht="24.95" customHeight="1" x14ac:dyDescent="0.3">
      <c r="A33" s="2"/>
      <c r="B33" s="40" t="s">
        <v>727</v>
      </c>
      <c r="C33" s="42" t="s">
        <v>730</v>
      </c>
      <c r="D33" s="42" t="s">
        <v>58</v>
      </c>
      <c r="E33" s="15">
        <v>1778.8</v>
      </c>
      <c r="F33" s="41"/>
      <c r="G33" s="2"/>
      <c r="H33" s="2"/>
    </row>
    <row r="34" spans="1:10" ht="24.95" customHeight="1" x14ac:dyDescent="0.3">
      <c r="A34" s="2"/>
      <c r="B34" s="40" t="s">
        <v>727</v>
      </c>
      <c r="C34" s="42" t="s">
        <v>730</v>
      </c>
      <c r="D34" s="40" t="s">
        <v>720</v>
      </c>
      <c r="E34" s="15">
        <v>1436.9</v>
      </c>
      <c r="F34" s="41"/>
      <c r="G34" s="2"/>
      <c r="H34" s="2"/>
    </row>
    <row r="35" spans="1:10" ht="24.95" customHeight="1" x14ac:dyDescent="0.3">
      <c r="A35" s="2"/>
      <c r="B35" s="40" t="s">
        <v>727</v>
      </c>
      <c r="C35" s="42" t="s">
        <v>730</v>
      </c>
      <c r="D35" s="44" t="s">
        <v>722</v>
      </c>
      <c r="E35" s="15">
        <v>69</v>
      </c>
      <c r="F35" s="41"/>
      <c r="G35" s="2"/>
      <c r="H35" s="2"/>
    </row>
    <row r="36" spans="1:10" ht="24.95" customHeight="1" x14ac:dyDescent="0.3">
      <c r="A36" s="2"/>
      <c r="B36" s="40" t="s">
        <v>727</v>
      </c>
      <c r="C36" s="42" t="s">
        <v>730</v>
      </c>
      <c r="D36" s="42" t="s">
        <v>719</v>
      </c>
      <c r="E36" s="15">
        <v>263</v>
      </c>
      <c r="F36" s="41"/>
      <c r="G36" s="2"/>
      <c r="H36" s="2"/>
      <c r="J36" s="38"/>
    </row>
    <row r="37" spans="1:10" ht="24.95" customHeight="1" x14ac:dyDescent="0.3">
      <c r="A37" s="2"/>
      <c r="B37" s="40" t="s">
        <v>727</v>
      </c>
      <c r="C37" s="42" t="s">
        <v>730</v>
      </c>
      <c r="D37" s="42" t="s">
        <v>72</v>
      </c>
      <c r="E37" s="45">
        <v>67.099999999999994</v>
      </c>
      <c r="F37" s="41"/>
      <c r="G37" s="2"/>
      <c r="H37" s="2"/>
    </row>
    <row r="38" spans="1:10" ht="24.95" customHeight="1" x14ac:dyDescent="0.3">
      <c r="A38" s="2"/>
      <c r="B38" s="40" t="s">
        <v>727</v>
      </c>
      <c r="C38" s="42" t="s">
        <v>730</v>
      </c>
      <c r="D38" s="44" t="s">
        <v>723</v>
      </c>
      <c r="E38" s="45">
        <v>767.97</v>
      </c>
      <c r="F38" s="41"/>
      <c r="G38" s="2"/>
      <c r="H38" s="2"/>
    </row>
    <row r="39" spans="1:10" ht="24.95" customHeight="1" x14ac:dyDescent="0.3">
      <c r="A39" s="2"/>
      <c r="B39" s="40" t="s">
        <v>727</v>
      </c>
      <c r="C39" s="42" t="s">
        <v>730</v>
      </c>
      <c r="D39" s="42" t="s">
        <v>209</v>
      </c>
      <c r="E39" s="45">
        <v>382.2</v>
      </c>
      <c r="F39" s="41"/>
      <c r="G39" s="2"/>
      <c r="H39" s="2"/>
    </row>
    <row r="40" spans="1:10" ht="24.95" customHeight="1" x14ac:dyDescent="0.3">
      <c r="A40" s="2"/>
      <c r="B40" s="40" t="s">
        <v>727</v>
      </c>
      <c r="C40" s="42" t="s">
        <v>730</v>
      </c>
      <c r="D40" s="42" t="s">
        <v>36</v>
      </c>
      <c r="E40" s="46">
        <v>187</v>
      </c>
      <c r="F40" s="41"/>
      <c r="G40" s="2"/>
      <c r="H40" s="2"/>
    </row>
    <row r="41" spans="1:10" ht="24.95" customHeight="1" x14ac:dyDescent="0.3">
      <c r="A41" s="2"/>
      <c r="B41" s="40" t="s">
        <v>727</v>
      </c>
      <c r="C41" s="42" t="s">
        <v>730</v>
      </c>
      <c r="D41" s="44" t="s">
        <v>724</v>
      </c>
      <c r="E41" s="46">
        <v>51.2</v>
      </c>
      <c r="F41" s="41"/>
      <c r="G41" s="2"/>
      <c r="H41" s="2"/>
    </row>
    <row r="42" spans="1:10" ht="27.75" customHeight="1" x14ac:dyDescent="0.3">
      <c r="A42" s="2"/>
      <c r="B42" s="40" t="s">
        <v>727</v>
      </c>
      <c r="C42" s="42" t="s">
        <v>730</v>
      </c>
      <c r="D42" s="42" t="s">
        <v>45</v>
      </c>
      <c r="E42" s="46">
        <v>62.4</v>
      </c>
      <c r="F42" s="47"/>
      <c r="G42" s="3"/>
      <c r="H42" s="2"/>
    </row>
    <row r="43" spans="1:10" ht="27.75" customHeight="1" x14ac:dyDescent="0.3">
      <c r="A43" s="2"/>
      <c r="B43" s="71" t="s">
        <v>729</v>
      </c>
      <c r="C43" s="72"/>
      <c r="D43" s="73"/>
      <c r="E43" s="46">
        <f>SUM(E31:E42)</f>
        <v>11522.17</v>
      </c>
      <c r="F43" s="47"/>
      <c r="G43" s="3"/>
      <c r="H43" s="2"/>
    </row>
    <row r="44" spans="1:10" ht="33" customHeight="1" x14ac:dyDescent="0.3">
      <c r="A44" s="2"/>
      <c r="B44" s="70" t="s">
        <v>30</v>
      </c>
      <c r="C44" s="70"/>
      <c r="D44" s="70"/>
      <c r="E44" s="36">
        <f>SUM(E43,E30,E17)</f>
        <v>34566.51</v>
      </c>
      <c r="F44" s="37"/>
      <c r="G44" s="2"/>
      <c r="H44" s="2"/>
    </row>
    <row r="46" spans="1:10" ht="24.95" customHeight="1" x14ac:dyDescent="0.3">
      <c r="A46" s="2"/>
      <c r="B46"/>
      <c r="C46"/>
      <c r="D46"/>
      <c r="E46"/>
      <c r="F46"/>
      <c r="H46" s="2"/>
    </row>
    <row r="47" spans="1:10" ht="24.95" customHeight="1" x14ac:dyDescent="0.3">
      <c r="A47" s="2"/>
      <c r="B47"/>
      <c r="C47"/>
      <c r="D47"/>
      <c r="E47"/>
      <c r="F47"/>
      <c r="H47" s="2"/>
    </row>
    <row r="48" spans="1:10" ht="24.95" customHeight="1" x14ac:dyDescent="0.3">
      <c r="A48" s="2"/>
      <c r="B48"/>
      <c r="C48"/>
      <c r="D48"/>
      <c r="E48"/>
      <c r="F48"/>
      <c r="H48" s="2"/>
    </row>
    <row r="49" spans="1:8" ht="24.95" customHeight="1" x14ac:dyDescent="0.3">
      <c r="A49" s="2"/>
      <c r="B49"/>
      <c r="C49"/>
      <c r="D49"/>
      <c r="E49"/>
      <c r="F49"/>
      <c r="H49" s="2"/>
    </row>
    <row r="50" spans="1:8" ht="24.95" customHeight="1" x14ac:dyDescent="0.3">
      <c r="A50" s="2"/>
      <c r="B50"/>
      <c r="C50"/>
      <c r="D50"/>
      <c r="E50"/>
      <c r="F50"/>
      <c r="H50" s="2"/>
    </row>
    <row r="51" spans="1:8" ht="24.95" customHeight="1" x14ac:dyDescent="0.3">
      <c r="A51" s="2"/>
      <c r="B51"/>
      <c r="C51"/>
      <c r="D51"/>
      <c r="E51"/>
      <c r="F51"/>
      <c r="H51" s="2"/>
    </row>
    <row r="52" spans="1:8" ht="24.95" customHeight="1" x14ac:dyDescent="0.3">
      <c r="A52" s="2"/>
      <c r="B52"/>
      <c r="C52"/>
      <c r="D52"/>
      <c r="E52"/>
      <c r="F52"/>
      <c r="H52" s="2"/>
    </row>
    <row r="53" spans="1:8" ht="24.95" customHeight="1" x14ac:dyDescent="0.3">
      <c r="A53" s="2"/>
      <c r="B53"/>
      <c r="C53"/>
      <c r="D53"/>
      <c r="E53"/>
      <c r="F53"/>
      <c r="H53" s="2"/>
    </row>
    <row r="54" spans="1:8" ht="24.95" customHeight="1" x14ac:dyDescent="0.3">
      <c r="A54" s="2"/>
      <c r="B54"/>
      <c r="C54"/>
      <c r="D54"/>
      <c r="E54"/>
      <c r="F54"/>
      <c r="H54" s="2"/>
    </row>
    <row r="55" spans="1:8" ht="24.95" customHeight="1" x14ac:dyDescent="0.3">
      <c r="A55" s="2"/>
      <c r="B55"/>
      <c r="C55"/>
      <c r="D55"/>
      <c r="E55"/>
      <c r="F55"/>
      <c r="H55" s="2"/>
    </row>
    <row r="56" spans="1:8" ht="24.95" customHeight="1" x14ac:dyDescent="0.3">
      <c r="A56" s="2"/>
      <c r="B56"/>
      <c r="C56"/>
      <c r="D56"/>
      <c r="E56"/>
      <c r="F56"/>
      <c r="H56" s="2"/>
    </row>
    <row r="57" spans="1:8" ht="24.95" customHeight="1" x14ac:dyDescent="0.3">
      <c r="A57" s="2"/>
      <c r="B57"/>
      <c r="C57"/>
      <c r="D57"/>
      <c r="E57"/>
      <c r="F57"/>
      <c r="H57" s="2"/>
    </row>
    <row r="58" spans="1:8" ht="24.95" customHeight="1" x14ac:dyDescent="0.3">
      <c r="A58" s="2"/>
      <c r="B58"/>
      <c r="C58"/>
      <c r="D58"/>
      <c r="E58"/>
      <c r="F58"/>
      <c r="H58" s="2"/>
    </row>
    <row r="59" spans="1:8" ht="24.95" customHeight="1" x14ac:dyDescent="0.3">
      <c r="A59" s="2"/>
      <c r="B59"/>
      <c r="C59"/>
      <c r="D59"/>
      <c r="E59"/>
      <c r="F59"/>
      <c r="H59" s="2"/>
    </row>
    <row r="60" spans="1:8" ht="24.95" customHeight="1" x14ac:dyDescent="0.3">
      <c r="A60" s="2"/>
      <c r="B60"/>
      <c r="C60"/>
      <c r="D60"/>
      <c r="E60"/>
      <c r="F60"/>
      <c r="H60" s="2"/>
    </row>
    <row r="61" spans="1:8" ht="24.95" customHeight="1" x14ac:dyDescent="0.3">
      <c r="A61" s="2"/>
      <c r="B61"/>
      <c r="C61"/>
      <c r="D61"/>
      <c r="E61"/>
      <c r="F61"/>
      <c r="H61" s="2"/>
    </row>
    <row r="62" spans="1:8" ht="24.95" customHeight="1" x14ac:dyDescent="0.3">
      <c r="A62" s="2"/>
      <c r="B62"/>
      <c r="C62"/>
      <c r="D62"/>
      <c r="E62"/>
      <c r="F62"/>
      <c r="H62" s="2"/>
    </row>
    <row r="63" spans="1:8" ht="24.95" customHeight="1" x14ac:dyDescent="0.3">
      <c r="A63" s="2"/>
      <c r="B63"/>
      <c r="C63"/>
      <c r="D63"/>
      <c r="E63"/>
      <c r="F63"/>
      <c r="H63" s="2"/>
    </row>
    <row r="64" spans="1:8" ht="24.95" customHeight="1" x14ac:dyDescent="0.3">
      <c r="A64" s="2"/>
      <c r="B64"/>
      <c r="C64"/>
      <c r="D64"/>
      <c r="E64"/>
      <c r="F64"/>
      <c r="H64" s="2"/>
    </row>
    <row r="65" spans="1:8" ht="24.95" customHeight="1" x14ac:dyDescent="0.3">
      <c r="A65" s="2"/>
      <c r="B65"/>
      <c r="C65"/>
      <c r="D65"/>
      <c r="E65"/>
      <c r="F65"/>
      <c r="H65" s="2"/>
    </row>
    <row r="66" spans="1:8" ht="24.95" customHeight="1" x14ac:dyDescent="0.3">
      <c r="A66" s="2"/>
      <c r="B66"/>
      <c r="C66"/>
      <c r="D66"/>
      <c r="E66"/>
      <c r="F66"/>
      <c r="H66" s="2"/>
    </row>
    <row r="67" spans="1:8" ht="24.95" customHeight="1" x14ac:dyDescent="0.3">
      <c r="A67" s="2"/>
      <c r="B67"/>
      <c r="C67"/>
      <c r="D67"/>
      <c r="E67"/>
      <c r="F67"/>
      <c r="H67" s="2"/>
    </row>
    <row r="68" spans="1:8" ht="24.95" customHeight="1" x14ac:dyDescent="0.3">
      <c r="A68" s="2"/>
      <c r="B68"/>
      <c r="C68"/>
      <c r="D68"/>
      <c r="E68"/>
      <c r="F68"/>
      <c r="H68" s="2"/>
    </row>
    <row r="69" spans="1:8" ht="24.95" customHeight="1" x14ac:dyDescent="0.3">
      <c r="A69" s="2"/>
      <c r="B69"/>
      <c r="C69"/>
      <c r="D69"/>
      <c r="E69"/>
      <c r="F69"/>
      <c r="H69" s="2"/>
    </row>
    <row r="70" spans="1:8" ht="24.95" customHeight="1" x14ac:dyDescent="0.3">
      <c r="A70" s="2"/>
      <c r="B70"/>
      <c r="C70"/>
      <c r="D70"/>
      <c r="E70"/>
      <c r="F70"/>
      <c r="H70" s="2"/>
    </row>
    <row r="71" spans="1:8" ht="24.95" customHeight="1" x14ac:dyDescent="0.3">
      <c r="A71" s="2"/>
      <c r="B71"/>
      <c r="C71"/>
      <c r="D71"/>
      <c r="E71"/>
      <c r="F71"/>
      <c r="H71" s="2"/>
    </row>
    <row r="72" spans="1:8" ht="24.95" customHeight="1" x14ac:dyDescent="0.3">
      <c r="A72" s="2"/>
      <c r="B72"/>
      <c r="C72"/>
      <c r="D72"/>
      <c r="E72"/>
      <c r="F72"/>
      <c r="H72" s="2"/>
    </row>
    <row r="73" spans="1:8" ht="24.95" customHeight="1" x14ac:dyDescent="0.3">
      <c r="A73" s="2"/>
      <c r="B73"/>
      <c r="C73"/>
      <c r="D73"/>
      <c r="E73"/>
      <c r="F73"/>
      <c r="H73" s="2"/>
    </row>
    <row r="74" spans="1:8" ht="24.95" customHeight="1" x14ac:dyDescent="0.3">
      <c r="A74" s="2"/>
      <c r="B74"/>
      <c r="C74"/>
      <c r="D74"/>
      <c r="E74"/>
      <c r="F74"/>
      <c r="H74" s="2"/>
    </row>
    <row r="75" spans="1:8" ht="24.95" customHeight="1" x14ac:dyDescent="0.3">
      <c r="A75" s="2"/>
      <c r="B75"/>
      <c r="C75"/>
      <c r="D75"/>
      <c r="E75"/>
      <c r="F75"/>
      <c r="H75" s="2"/>
    </row>
    <row r="76" spans="1:8" ht="24.95" customHeight="1" x14ac:dyDescent="0.3">
      <c r="A76" s="2"/>
      <c r="B76"/>
      <c r="C76"/>
      <c r="D76"/>
      <c r="E76"/>
      <c r="F76"/>
      <c r="H76" s="2"/>
    </row>
    <row r="77" spans="1:8" ht="24.95" customHeight="1" x14ac:dyDescent="0.3">
      <c r="A77" s="2"/>
      <c r="B77"/>
      <c r="C77"/>
      <c r="D77"/>
      <c r="E77"/>
      <c r="F77"/>
      <c r="H77" s="2"/>
    </row>
    <row r="78" spans="1:8" ht="24.95" customHeight="1" x14ac:dyDescent="0.3">
      <c r="A78" s="2"/>
      <c r="B78"/>
      <c r="C78"/>
      <c r="D78"/>
      <c r="E78"/>
      <c r="F78"/>
      <c r="H78" s="2"/>
    </row>
    <row r="79" spans="1:8" ht="24.95" customHeight="1" x14ac:dyDescent="0.3">
      <c r="A79" s="2"/>
      <c r="B79"/>
      <c r="C79"/>
      <c r="D79"/>
      <c r="E79"/>
      <c r="F79"/>
      <c r="H79" s="2"/>
    </row>
    <row r="80" spans="1:8" ht="24.95" customHeight="1" x14ac:dyDescent="0.3">
      <c r="A80" s="2"/>
      <c r="B80"/>
      <c r="C80"/>
      <c r="D80"/>
      <c r="E80"/>
      <c r="F80"/>
      <c r="H80" s="2"/>
    </row>
    <row r="81" spans="1:8" ht="24.95" customHeight="1" x14ac:dyDescent="0.3">
      <c r="A81" s="2"/>
      <c r="B81"/>
      <c r="C81"/>
      <c r="D81"/>
      <c r="E81"/>
      <c r="F81"/>
      <c r="H81" s="2"/>
    </row>
    <row r="82" spans="1:8" ht="24.95" customHeight="1" x14ac:dyDescent="0.3">
      <c r="A82" s="2"/>
      <c r="B82"/>
      <c r="C82"/>
      <c r="D82"/>
      <c r="E82"/>
      <c r="F82"/>
      <c r="H82" s="2"/>
    </row>
    <row r="83" spans="1:8" ht="24.95" customHeight="1" x14ac:dyDescent="0.3">
      <c r="A83" s="2"/>
      <c r="B83"/>
      <c r="C83"/>
      <c r="D83"/>
      <c r="E83"/>
      <c r="F83"/>
      <c r="H83" s="2"/>
    </row>
    <row r="84" spans="1:8" ht="24.95" customHeight="1" x14ac:dyDescent="0.3">
      <c r="A84" s="2"/>
      <c r="B84"/>
      <c r="C84"/>
      <c r="D84"/>
      <c r="E84"/>
      <c r="F84"/>
      <c r="H84" s="2"/>
    </row>
    <row r="85" spans="1:8" ht="24.95" customHeight="1" x14ac:dyDescent="0.3">
      <c r="A85" s="2"/>
      <c r="B85"/>
      <c r="C85"/>
      <c r="D85"/>
      <c r="E85"/>
      <c r="F85"/>
      <c r="H85" s="2"/>
    </row>
    <row r="86" spans="1:8" ht="24.95" customHeight="1" x14ac:dyDescent="0.3">
      <c r="A86" s="2"/>
      <c r="B86"/>
      <c r="C86"/>
      <c r="D86"/>
      <c r="E86"/>
      <c r="F86"/>
      <c r="H86" s="2"/>
    </row>
    <row r="87" spans="1:8" ht="24.95" customHeight="1" x14ac:dyDescent="0.3">
      <c r="A87" s="2"/>
      <c r="B87"/>
      <c r="C87"/>
      <c r="D87"/>
      <c r="E87"/>
      <c r="F87"/>
      <c r="H87" s="2"/>
    </row>
    <row r="88" spans="1:8" ht="24.95" customHeight="1" x14ac:dyDescent="0.3">
      <c r="A88" s="2"/>
      <c r="B88"/>
      <c r="C88"/>
      <c r="D88"/>
      <c r="E88"/>
      <c r="F88"/>
      <c r="H88" s="2"/>
    </row>
    <row r="89" spans="1:8" ht="24.95" customHeight="1" x14ac:dyDescent="0.3">
      <c r="A89" s="2"/>
      <c r="B89"/>
      <c r="C89"/>
      <c r="D89"/>
      <c r="E89"/>
      <c r="F89"/>
      <c r="H89" s="2"/>
    </row>
    <row r="90" spans="1:8" ht="24.95" customHeight="1" x14ac:dyDescent="0.3">
      <c r="A90" s="2"/>
      <c r="B90"/>
      <c r="C90"/>
      <c r="D90"/>
      <c r="E90"/>
      <c r="F90"/>
      <c r="H90" s="2"/>
    </row>
    <row r="91" spans="1:8" ht="24.95" customHeight="1" x14ac:dyDescent="0.3">
      <c r="A91" s="2"/>
      <c r="B91"/>
      <c r="C91"/>
      <c r="D91"/>
      <c r="E91"/>
      <c r="F91"/>
      <c r="H91" s="2"/>
    </row>
    <row r="92" spans="1:8" x14ac:dyDescent="0.3">
      <c r="B92"/>
      <c r="C92"/>
      <c r="D92"/>
      <c r="E92"/>
      <c r="F92"/>
    </row>
    <row r="93" spans="1:8" x14ac:dyDescent="0.3">
      <c r="B93"/>
      <c r="C93"/>
      <c r="D93"/>
      <c r="E93"/>
      <c r="F93"/>
    </row>
    <row r="94" spans="1:8" x14ac:dyDescent="0.3">
      <c r="B94"/>
      <c r="C94"/>
      <c r="D94"/>
      <c r="E94"/>
      <c r="F94"/>
    </row>
  </sheetData>
  <mergeCells count="4">
    <mergeCell ref="B44:D44"/>
    <mergeCell ref="B17:D17"/>
    <mergeCell ref="B30:D30"/>
    <mergeCell ref="B43:D43"/>
  </mergeCells>
  <phoneticPr fontId="1" type="noConversion"/>
  <pageMargins left="0.7" right="0.7" top="0.75" bottom="0.75" header="0.3" footer="0.3"/>
  <pageSetup paperSize="9" scale="5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  <pageSetUpPr fitToPage="1"/>
  </sheetPr>
  <dimension ref="A1:R1997"/>
  <sheetViews>
    <sheetView tabSelected="1" zoomScale="70" zoomScaleNormal="70" zoomScaleSheetLayoutView="85" workbookViewId="0">
      <pane ySplit="3" topLeftCell="A49" activePane="bottomLeft" state="frozen"/>
      <selection pane="bottomLeft" activeCell="I32" sqref="I32"/>
    </sheetView>
  </sheetViews>
  <sheetFormatPr defaultColWidth="9.875" defaultRowHeight="16.5" x14ac:dyDescent="0.3"/>
  <cols>
    <col min="1" max="1" width="11.75" style="48" bestFit="1" customWidth="1"/>
    <col min="2" max="2" width="10" style="42" bestFit="1" customWidth="1"/>
    <col min="3" max="3" width="10.25" style="42" customWidth="1"/>
    <col min="4" max="4" width="10.25" style="42" bestFit="1" customWidth="1"/>
    <col min="5" max="5" width="38.875" style="42" customWidth="1"/>
    <col min="6" max="7" width="14.625" style="44" customWidth="1"/>
    <col min="8" max="8" width="9.375" style="44" customWidth="1"/>
    <col min="9" max="9" width="36.125" style="44" bestFit="1" customWidth="1"/>
    <col min="10" max="10" width="5.25" style="53" bestFit="1" customWidth="1"/>
    <col min="11" max="11" width="14.375" style="45" bestFit="1" customWidth="1"/>
    <col min="12" max="12" width="15.25" style="45" customWidth="1"/>
    <col min="13" max="13" width="12.375" style="50" customWidth="1"/>
    <col min="14" max="14" width="26.25" style="50" customWidth="1"/>
    <col min="15" max="15" width="8" style="51" customWidth="1"/>
    <col min="16" max="16" width="8" style="7" customWidth="1"/>
    <col min="17" max="16384" width="9.875" style="7"/>
  </cols>
  <sheetData>
    <row r="1" spans="1:18" s="4" customFormat="1" ht="33.75" x14ac:dyDescent="0.3">
      <c r="A1" s="16" t="s">
        <v>33</v>
      </c>
      <c r="B1" s="17"/>
      <c r="C1" s="18"/>
      <c r="D1" s="18"/>
      <c r="E1" s="18"/>
      <c r="F1" s="5"/>
      <c r="G1" s="5"/>
      <c r="H1" s="5"/>
      <c r="I1" s="7"/>
      <c r="J1" s="18"/>
      <c r="K1" s="28"/>
      <c r="L1" s="10"/>
      <c r="M1" s="19"/>
      <c r="N1" s="19"/>
      <c r="R1" s="4" t="s">
        <v>31</v>
      </c>
    </row>
    <row r="2" spans="1:18" s="4" customFormat="1" x14ac:dyDescent="0.3">
      <c r="A2" s="20"/>
      <c r="B2" s="21"/>
      <c r="C2" s="5"/>
      <c r="D2" s="5"/>
      <c r="E2" s="5"/>
      <c r="F2" s="29"/>
      <c r="G2" s="29"/>
      <c r="H2" s="29"/>
      <c r="I2" s="5"/>
      <c r="J2" s="30">
        <f>SUBTOTAL(9,$J$3:$J$1048576)</f>
        <v>1656</v>
      </c>
      <c r="K2" s="22">
        <f>SUBTOTAL(9,$K4:$K1048576)</f>
        <v>34566.509999999886</v>
      </c>
      <c r="L2" s="27"/>
      <c r="M2" s="26" t="e">
        <f>K2-#REF!</f>
        <v>#REF!</v>
      </c>
      <c r="N2" s="22"/>
    </row>
    <row r="3" spans="1:18" s="6" customFormat="1" ht="33" x14ac:dyDescent="0.3">
      <c r="A3" s="23" t="s">
        <v>2</v>
      </c>
      <c r="B3" s="24" t="s">
        <v>3</v>
      </c>
      <c r="C3" s="25" t="s">
        <v>25</v>
      </c>
      <c r="D3" s="25" t="s">
        <v>29</v>
      </c>
      <c r="E3" s="31" t="s">
        <v>19</v>
      </c>
      <c r="F3" s="32" t="s">
        <v>18</v>
      </c>
      <c r="G3" s="32" t="s">
        <v>51</v>
      </c>
      <c r="H3" s="32" t="s">
        <v>38</v>
      </c>
      <c r="I3" s="31" t="s">
        <v>4</v>
      </c>
      <c r="J3" s="33" t="s">
        <v>5</v>
      </c>
      <c r="K3" s="9" t="s">
        <v>22</v>
      </c>
      <c r="L3" s="11" t="s">
        <v>454</v>
      </c>
      <c r="M3" s="9" t="s">
        <v>23</v>
      </c>
      <c r="N3" s="9" t="s">
        <v>24</v>
      </c>
      <c r="P3" s="6">
        <f>768*3</f>
        <v>2304</v>
      </c>
    </row>
    <row r="4" spans="1:18" ht="16.5" customHeight="1" x14ac:dyDescent="0.3">
      <c r="A4" s="48">
        <v>46036</v>
      </c>
      <c r="B4" s="42" t="s">
        <v>34</v>
      </c>
      <c r="D4" s="42" t="s">
        <v>35</v>
      </c>
      <c r="E4" s="42" t="s">
        <v>52</v>
      </c>
      <c r="J4" s="53">
        <v>1</v>
      </c>
      <c r="K4" s="45">
        <v>12.7</v>
      </c>
    </row>
    <row r="5" spans="1:18" ht="16.5" customHeight="1" x14ac:dyDescent="0.3">
      <c r="A5" s="48">
        <v>46036</v>
      </c>
      <c r="B5" s="42" t="s">
        <v>34</v>
      </c>
      <c r="D5" s="42" t="s">
        <v>35</v>
      </c>
      <c r="E5" s="42" t="s">
        <v>53</v>
      </c>
      <c r="J5" s="53">
        <v>1</v>
      </c>
      <c r="K5" s="45">
        <v>581.20000000000005</v>
      </c>
    </row>
    <row r="6" spans="1:18" ht="16.5" customHeight="1" x14ac:dyDescent="0.3">
      <c r="A6" s="48">
        <v>46036</v>
      </c>
      <c r="B6" s="42" t="s">
        <v>34</v>
      </c>
      <c r="D6" s="42" t="s">
        <v>35</v>
      </c>
      <c r="E6" s="42" t="s">
        <v>54</v>
      </c>
      <c r="J6" s="53">
        <v>1</v>
      </c>
      <c r="K6" s="45">
        <v>47.4</v>
      </c>
    </row>
    <row r="7" spans="1:18" ht="16.5" customHeight="1" x14ac:dyDescent="0.3">
      <c r="A7" s="48">
        <v>46036</v>
      </c>
      <c r="B7" s="42" t="s">
        <v>34</v>
      </c>
      <c r="D7" s="42" t="s">
        <v>35</v>
      </c>
      <c r="E7" s="42" t="s">
        <v>55</v>
      </c>
      <c r="J7" s="53">
        <v>1</v>
      </c>
      <c r="K7" s="45">
        <v>96.6</v>
      </c>
    </row>
    <row r="8" spans="1:18" ht="16.5" customHeight="1" x14ac:dyDescent="0.3">
      <c r="A8" s="48">
        <v>46036</v>
      </c>
      <c r="B8" s="42" t="s">
        <v>34</v>
      </c>
      <c r="D8" s="42" t="s">
        <v>35</v>
      </c>
      <c r="E8" s="42" t="s">
        <v>56</v>
      </c>
      <c r="J8" s="53">
        <v>1</v>
      </c>
      <c r="K8" s="45">
        <v>4709.6000000000004</v>
      </c>
    </row>
    <row r="9" spans="1:18" ht="16.5" customHeight="1" x14ac:dyDescent="0.3">
      <c r="A9" s="48">
        <v>46036</v>
      </c>
      <c r="B9" s="42" t="s">
        <v>34</v>
      </c>
      <c r="D9" s="42" t="s">
        <v>35</v>
      </c>
      <c r="E9" s="42" t="s">
        <v>57</v>
      </c>
      <c r="J9" s="53">
        <v>1</v>
      </c>
      <c r="K9" s="45">
        <v>1747</v>
      </c>
    </row>
    <row r="10" spans="1:18" ht="16.5" customHeight="1" x14ac:dyDescent="0.3">
      <c r="A10" s="48">
        <v>46036</v>
      </c>
      <c r="B10" s="42" t="s">
        <v>34</v>
      </c>
      <c r="D10" s="42" t="s">
        <v>35</v>
      </c>
      <c r="E10" s="42" t="s">
        <v>58</v>
      </c>
      <c r="J10" s="53">
        <v>1</v>
      </c>
      <c r="K10" s="45">
        <v>1778.8</v>
      </c>
    </row>
    <row r="11" spans="1:18" ht="16.5" customHeight="1" x14ac:dyDescent="0.3">
      <c r="A11" s="48">
        <v>46036</v>
      </c>
      <c r="B11" s="42" t="s">
        <v>34</v>
      </c>
      <c r="D11" s="42" t="s">
        <v>35</v>
      </c>
      <c r="E11" s="42" t="s">
        <v>59</v>
      </c>
      <c r="J11" s="53">
        <v>1</v>
      </c>
      <c r="K11" s="45">
        <v>338.4</v>
      </c>
    </row>
    <row r="12" spans="1:18" ht="16.5" customHeight="1" x14ac:dyDescent="0.3">
      <c r="A12" s="48">
        <v>46036</v>
      </c>
      <c r="B12" s="42" t="s">
        <v>34</v>
      </c>
      <c r="D12" s="42" t="s">
        <v>35</v>
      </c>
      <c r="E12" s="42" t="s">
        <v>60</v>
      </c>
      <c r="J12" s="53">
        <v>1</v>
      </c>
      <c r="K12" s="45">
        <v>7.5</v>
      </c>
    </row>
    <row r="13" spans="1:18" ht="16.5" customHeight="1" x14ac:dyDescent="0.3">
      <c r="A13" s="48">
        <v>46036</v>
      </c>
      <c r="B13" s="42" t="s">
        <v>34</v>
      </c>
      <c r="D13" s="42" t="s">
        <v>35</v>
      </c>
      <c r="E13" s="42" t="s">
        <v>61</v>
      </c>
      <c r="J13" s="53">
        <v>1</v>
      </c>
      <c r="K13" s="45">
        <v>12.6</v>
      </c>
    </row>
    <row r="14" spans="1:18" ht="16.5" customHeight="1" x14ac:dyDescent="0.3">
      <c r="A14" s="48">
        <v>46036</v>
      </c>
      <c r="B14" s="42" t="s">
        <v>34</v>
      </c>
      <c r="D14" s="42" t="s">
        <v>35</v>
      </c>
      <c r="E14" s="42" t="s">
        <v>62</v>
      </c>
      <c r="J14" s="53">
        <v>1</v>
      </c>
      <c r="K14" s="45">
        <v>12.6</v>
      </c>
    </row>
    <row r="15" spans="1:18" ht="16.5" customHeight="1" x14ac:dyDescent="0.3">
      <c r="A15" s="48">
        <v>46036</v>
      </c>
      <c r="B15" s="42" t="s">
        <v>34</v>
      </c>
      <c r="D15" s="42" t="s">
        <v>35</v>
      </c>
      <c r="E15" s="42" t="s">
        <v>63</v>
      </c>
      <c r="J15" s="53">
        <v>1</v>
      </c>
      <c r="K15" s="45">
        <v>12.6</v>
      </c>
    </row>
    <row r="16" spans="1:18" ht="16.5" customHeight="1" x14ac:dyDescent="0.3">
      <c r="A16" s="48">
        <v>46036</v>
      </c>
      <c r="B16" s="42" t="s">
        <v>34</v>
      </c>
      <c r="D16" s="42" t="s">
        <v>35</v>
      </c>
      <c r="E16" s="42" t="s">
        <v>64</v>
      </c>
      <c r="J16" s="53">
        <v>1</v>
      </c>
      <c r="K16" s="45">
        <v>12.6</v>
      </c>
    </row>
    <row r="17" spans="1:12" ht="16.5" customHeight="1" x14ac:dyDescent="0.3">
      <c r="A17" s="48">
        <v>46036</v>
      </c>
      <c r="B17" s="42" t="s">
        <v>34</v>
      </c>
      <c r="D17" s="42" t="s">
        <v>35</v>
      </c>
      <c r="E17" s="42" t="s">
        <v>65</v>
      </c>
      <c r="J17" s="53">
        <v>1</v>
      </c>
      <c r="K17" s="45">
        <v>2.5</v>
      </c>
    </row>
    <row r="18" spans="1:12" ht="16.5" customHeight="1" x14ac:dyDescent="0.3">
      <c r="A18" s="48">
        <v>46036</v>
      </c>
      <c r="B18" s="42" t="s">
        <v>34</v>
      </c>
      <c r="D18" s="42" t="s">
        <v>35</v>
      </c>
      <c r="E18" s="42" t="s">
        <v>66</v>
      </c>
      <c r="J18" s="53">
        <v>1</v>
      </c>
      <c r="K18" s="45">
        <v>6.5</v>
      </c>
    </row>
    <row r="19" spans="1:12" ht="16.5" customHeight="1" x14ac:dyDescent="0.3">
      <c r="A19" s="48">
        <v>46036</v>
      </c>
      <c r="B19" s="42" t="s">
        <v>34</v>
      </c>
      <c r="D19" s="42" t="s">
        <v>35</v>
      </c>
      <c r="E19" s="42" t="s">
        <v>67</v>
      </c>
      <c r="J19" s="53">
        <v>1</v>
      </c>
      <c r="K19" s="45">
        <v>3.8</v>
      </c>
    </row>
    <row r="20" spans="1:12" ht="16.5" customHeight="1" x14ac:dyDescent="0.3">
      <c r="A20" s="48">
        <v>46036</v>
      </c>
      <c r="B20" s="42" t="s">
        <v>34</v>
      </c>
      <c r="D20" s="42" t="s">
        <v>35</v>
      </c>
      <c r="E20" s="42" t="s">
        <v>68</v>
      </c>
      <c r="J20" s="53">
        <v>1</v>
      </c>
      <c r="K20" s="45">
        <v>76</v>
      </c>
    </row>
    <row r="21" spans="1:12" ht="16.5" customHeight="1" x14ac:dyDescent="0.3">
      <c r="A21" s="48">
        <v>46036</v>
      </c>
      <c r="B21" s="42" t="s">
        <v>34</v>
      </c>
      <c r="D21" s="42" t="s">
        <v>35</v>
      </c>
      <c r="E21" s="42" t="s">
        <v>69</v>
      </c>
      <c r="J21" s="53">
        <v>1</v>
      </c>
      <c r="K21" s="45">
        <v>14.1</v>
      </c>
    </row>
    <row r="22" spans="1:12" ht="16.5" customHeight="1" x14ac:dyDescent="0.3">
      <c r="A22" s="48">
        <v>46036</v>
      </c>
      <c r="B22" s="42" t="s">
        <v>34</v>
      </c>
      <c r="D22" s="42" t="s">
        <v>35</v>
      </c>
      <c r="E22" s="42" t="s">
        <v>70</v>
      </c>
      <c r="J22" s="53">
        <v>1</v>
      </c>
      <c r="K22" s="45">
        <v>7.8</v>
      </c>
    </row>
    <row r="23" spans="1:12" ht="16.5" customHeight="1" x14ac:dyDescent="0.3">
      <c r="A23" s="48">
        <v>46036</v>
      </c>
      <c r="B23" s="42" t="s">
        <v>34</v>
      </c>
      <c r="D23" s="42" t="s">
        <v>35</v>
      </c>
      <c r="E23" s="42" t="s">
        <v>71</v>
      </c>
      <c r="J23" s="53">
        <v>1</v>
      </c>
      <c r="K23" s="45">
        <v>192</v>
      </c>
    </row>
    <row r="24" spans="1:12" ht="16.5" customHeight="1" x14ac:dyDescent="0.3">
      <c r="A24" s="48">
        <v>46036</v>
      </c>
      <c r="B24" s="42" t="s">
        <v>34</v>
      </c>
      <c r="D24" s="42" t="s">
        <v>35</v>
      </c>
      <c r="E24" s="42" t="s">
        <v>721</v>
      </c>
      <c r="J24" s="53">
        <v>1</v>
      </c>
      <c r="K24" s="45">
        <v>69</v>
      </c>
    </row>
    <row r="25" spans="1:12" ht="16.5" customHeight="1" x14ac:dyDescent="0.3">
      <c r="A25" s="48">
        <v>46036</v>
      </c>
      <c r="B25" s="42" t="s">
        <v>34</v>
      </c>
      <c r="D25" s="42" t="s">
        <v>453</v>
      </c>
      <c r="E25" s="42" t="s">
        <v>719</v>
      </c>
      <c r="J25" s="49">
        <v>1</v>
      </c>
      <c r="K25" s="45">
        <v>263</v>
      </c>
      <c r="L25" s="8"/>
    </row>
    <row r="26" spans="1:12" ht="16.5" customHeight="1" x14ac:dyDescent="0.3">
      <c r="A26" s="48">
        <v>46036</v>
      </c>
      <c r="B26" s="42" t="s">
        <v>34</v>
      </c>
      <c r="D26" s="42" t="s">
        <v>35</v>
      </c>
      <c r="E26" s="42" t="s">
        <v>72</v>
      </c>
      <c r="F26" s="44" t="s">
        <v>47</v>
      </c>
      <c r="J26" s="49">
        <v>4</v>
      </c>
      <c r="K26" s="46">
        <v>30.1</v>
      </c>
      <c r="L26" s="46"/>
    </row>
    <row r="27" spans="1:12" ht="16.5" customHeight="1" x14ac:dyDescent="0.3">
      <c r="A27" s="48">
        <v>46036</v>
      </c>
      <c r="B27" s="42" t="s">
        <v>34</v>
      </c>
      <c r="D27" s="42" t="s">
        <v>35</v>
      </c>
      <c r="E27" s="42" t="s">
        <v>72</v>
      </c>
      <c r="F27" s="44" t="s">
        <v>48</v>
      </c>
      <c r="J27" s="49">
        <v>2</v>
      </c>
      <c r="K27" s="46">
        <v>11.9</v>
      </c>
      <c r="L27" s="46"/>
    </row>
    <row r="28" spans="1:12" ht="16.5" customHeight="1" x14ac:dyDescent="0.3">
      <c r="A28" s="48">
        <v>46036</v>
      </c>
      <c r="B28" s="42" t="s">
        <v>34</v>
      </c>
      <c r="D28" s="42" t="s">
        <v>35</v>
      </c>
      <c r="E28" s="42" t="s">
        <v>72</v>
      </c>
      <c r="F28" s="44" t="s">
        <v>49</v>
      </c>
      <c r="J28" s="49">
        <v>1</v>
      </c>
      <c r="K28" s="46">
        <v>11.1</v>
      </c>
      <c r="L28" s="46"/>
    </row>
    <row r="29" spans="1:12" ht="16.5" customHeight="1" x14ac:dyDescent="0.3">
      <c r="A29" s="48">
        <v>46036</v>
      </c>
      <c r="B29" s="42" t="s">
        <v>34</v>
      </c>
      <c r="D29" s="42" t="s">
        <v>35</v>
      </c>
      <c r="E29" s="42" t="s">
        <v>72</v>
      </c>
      <c r="F29" s="44" t="s">
        <v>50</v>
      </c>
      <c r="J29" s="49">
        <v>1</v>
      </c>
      <c r="K29" s="46">
        <v>14</v>
      </c>
      <c r="L29" s="46"/>
    </row>
    <row r="30" spans="1:12" ht="16.5" customHeight="1" x14ac:dyDescent="0.3">
      <c r="A30" s="48">
        <v>46036</v>
      </c>
      <c r="B30" s="42" t="s">
        <v>34</v>
      </c>
      <c r="D30" s="42" t="s">
        <v>35</v>
      </c>
      <c r="E30" s="42" t="s">
        <v>74</v>
      </c>
      <c r="F30" s="44" t="s">
        <v>75</v>
      </c>
      <c r="H30" s="44" t="s">
        <v>76</v>
      </c>
      <c r="J30" s="49">
        <v>1</v>
      </c>
      <c r="K30" s="45">
        <v>7.78</v>
      </c>
      <c r="L30" s="46"/>
    </row>
    <row r="31" spans="1:12" ht="16.5" customHeight="1" x14ac:dyDescent="0.3">
      <c r="A31" s="48">
        <v>46036</v>
      </c>
      <c r="B31" s="42" t="s">
        <v>34</v>
      </c>
      <c r="D31" s="42" t="s">
        <v>35</v>
      </c>
      <c r="E31" s="42" t="s">
        <v>74</v>
      </c>
      <c r="F31" s="44" t="s">
        <v>20</v>
      </c>
      <c r="H31" s="44" t="s">
        <v>76</v>
      </c>
      <c r="J31" s="49">
        <v>1</v>
      </c>
      <c r="K31" s="45">
        <v>7.78</v>
      </c>
    </row>
    <row r="32" spans="1:12" ht="16.5" customHeight="1" x14ac:dyDescent="0.3">
      <c r="A32" s="48">
        <v>46036</v>
      </c>
      <c r="B32" s="42" t="s">
        <v>34</v>
      </c>
      <c r="D32" s="42" t="s">
        <v>35</v>
      </c>
      <c r="E32" s="42" t="s">
        <v>74</v>
      </c>
      <c r="F32" s="44" t="s">
        <v>21</v>
      </c>
      <c r="H32" s="44" t="s">
        <v>76</v>
      </c>
      <c r="J32" s="49">
        <v>1</v>
      </c>
      <c r="K32" s="45">
        <v>6.02</v>
      </c>
    </row>
    <row r="33" spans="1:11" ht="16.5" customHeight="1" x14ac:dyDescent="0.3">
      <c r="A33" s="48">
        <v>46036</v>
      </c>
      <c r="B33" s="42" t="s">
        <v>34</v>
      </c>
      <c r="D33" s="42" t="s">
        <v>35</v>
      </c>
      <c r="E33" s="42" t="s">
        <v>74</v>
      </c>
      <c r="F33" s="44" t="s">
        <v>77</v>
      </c>
      <c r="H33" s="44" t="s">
        <v>76</v>
      </c>
      <c r="J33" s="49">
        <v>1</v>
      </c>
      <c r="K33" s="45">
        <v>11.19</v>
      </c>
    </row>
    <row r="34" spans="1:11" ht="16.5" customHeight="1" x14ac:dyDescent="0.3">
      <c r="A34" s="48">
        <v>46036</v>
      </c>
      <c r="B34" s="42" t="s">
        <v>34</v>
      </c>
      <c r="D34" s="42" t="s">
        <v>35</v>
      </c>
      <c r="E34" s="42" t="s">
        <v>74</v>
      </c>
      <c r="F34" s="44" t="s">
        <v>78</v>
      </c>
      <c r="H34" s="44" t="s">
        <v>76</v>
      </c>
      <c r="J34" s="49">
        <v>1</v>
      </c>
      <c r="K34" s="45">
        <v>1.17</v>
      </c>
    </row>
    <row r="35" spans="1:11" ht="15.75" customHeight="1" x14ac:dyDescent="0.3">
      <c r="A35" s="48">
        <v>46036</v>
      </c>
      <c r="B35" s="42" t="s">
        <v>34</v>
      </c>
      <c r="D35" s="42" t="s">
        <v>35</v>
      </c>
      <c r="E35" s="42" t="s">
        <v>74</v>
      </c>
      <c r="F35" s="44" t="s">
        <v>79</v>
      </c>
      <c r="H35" s="44" t="s">
        <v>76</v>
      </c>
      <c r="J35" s="49">
        <v>1</v>
      </c>
      <c r="K35" s="45">
        <v>2.39</v>
      </c>
    </row>
    <row r="36" spans="1:11" ht="16.5" customHeight="1" x14ac:dyDescent="0.3">
      <c r="A36" s="48">
        <v>46036</v>
      </c>
      <c r="B36" s="42" t="s">
        <v>34</v>
      </c>
      <c r="D36" s="42" t="s">
        <v>35</v>
      </c>
      <c r="E36" s="42" t="s">
        <v>74</v>
      </c>
      <c r="F36" s="44" t="s">
        <v>80</v>
      </c>
      <c r="H36" s="44" t="s">
        <v>76</v>
      </c>
      <c r="J36" s="49">
        <v>1</v>
      </c>
      <c r="K36" s="45">
        <v>1.1200000000000001</v>
      </c>
    </row>
    <row r="37" spans="1:11" ht="16.5" customHeight="1" x14ac:dyDescent="0.3">
      <c r="A37" s="48">
        <v>46036</v>
      </c>
      <c r="B37" s="42" t="s">
        <v>34</v>
      </c>
      <c r="D37" s="42" t="s">
        <v>35</v>
      </c>
      <c r="E37" s="42" t="s">
        <v>74</v>
      </c>
      <c r="F37" s="44" t="s">
        <v>81</v>
      </c>
      <c r="H37" s="44" t="s">
        <v>76</v>
      </c>
      <c r="J37" s="49">
        <v>1</v>
      </c>
      <c r="K37" s="45">
        <v>8.15</v>
      </c>
    </row>
    <row r="38" spans="1:11" ht="16.5" customHeight="1" x14ac:dyDescent="0.3">
      <c r="A38" s="48">
        <v>46036</v>
      </c>
      <c r="B38" s="42" t="s">
        <v>34</v>
      </c>
      <c r="D38" s="42" t="s">
        <v>35</v>
      </c>
      <c r="E38" s="42" t="s">
        <v>74</v>
      </c>
      <c r="F38" s="44" t="s">
        <v>82</v>
      </c>
      <c r="H38" s="44" t="s">
        <v>76</v>
      </c>
      <c r="J38" s="49">
        <v>1</v>
      </c>
      <c r="K38" s="45">
        <v>11.84</v>
      </c>
    </row>
    <row r="39" spans="1:11" ht="16.5" customHeight="1" x14ac:dyDescent="0.3">
      <c r="A39" s="48">
        <v>46036</v>
      </c>
      <c r="B39" s="42" t="s">
        <v>34</v>
      </c>
      <c r="D39" s="42" t="s">
        <v>35</v>
      </c>
      <c r="E39" s="42" t="s">
        <v>74</v>
      </c>
      <c r="F39" s="44" t="s">
        <v>83</v>
      </c>
      <c r="H39" s="44" t="s">
        <v>76</v>
      </c>
      <c r="J39" s="49">
        <v>1</v>
      </c>
      <c r="K39" s="45">
        <v>11.84</v>
      </c>
    </row>
    <row r="40" spans="1:11" ht="16.5" customHeight="1" x14ac:dyDescent="0.3">
      <c r="A40" s="48">
        <v>46036</v>
      </c>
      <c r="B40" s="42" t="s">
        <v>34</v>
      </c>
      <c r="D40" s="42" t="s">
        <v>35</v>
      </c>
      <c r="E40" s="42" t="s">
        <v>74</v>
      </c>
      <c r="F40" s="44" t="s">
        <v>84</v>
      </c>
      <c r="H40" s="44" t="s">
        <v>76</v>
      </c>
      <c r="J40" s="49">
        <v>1</v>
      </c>
      <c r="K40" s="45">
        <v>18.13</v>
      </c>
    </row>
    <row r="41" spans="1:11" ht="16.5" customHeight="1" x14ac:dyDescent="0.3">
      <c r="A41" s="48">
        <v>46036</v>
      </c>
      <c r="B41" s="42" t="s">
        <v>34</v>
      </c>
      <c r="D41" s="42" t="s">
        <v>35</v>
      </c>
      <c r="E41" s="42" t="s">
        <v>74</v>
      </c>
      <c r="F41" s="44" t="s">
        <v>85</v>
      </c>
      <c r="H41" s="44" t="s">
        <v>76</v>
      </c>
      <c r="J41" s="49">
        <v>1</v>
      </c>
      <c r="K41" s="45">
        <v>19.25</v>
      </c>
    </row>
    <row r="42" spans="1:11" ht="16.5" customHeight="1" x14ac:dyDescent="0.3">
      <c r="A42" s="48">
        <v>46036</v>
      </c>
      <c r="B42" s="42" t="s">
        <v>34</v>
      </c>
      <c r="D42" s="42" t="s">
        <v>35</v>
      </c>
      <c r="E42" s="42" t="s">
        <v>74</v>
      </c>
      <c r="F42" s="44" t="s">
        <v>86</v>
      </c>
      <c r="H42" s="44" t="s">
        <v>76</v>
      </c>
      <c r="J42" s="49">
        <v>1</v>
      </c>
      <c r="K42" s="45">
        <v>17.05</v>
      </c>
    </row>
    <row r="43" spans="1:11" ht="16.5" customHeight="1" x14ac:dyDescent="0.3">
      <c r="A43" s="48">
        <v>46036</v>
      </c>
      <c r="B43" s="42" t="s">
        <v>34</v>
      </c>
      <c r="D43" s="42" t="s">
        <v>35</v>
      </c>
      <c r="E43" s="42" t="s">
        <v>74</v>
      </c>
      <c r="F43" s="44" t="s">
        <v>87</v>
      </c>
      <c r="H43" s="44" t="s">
        <v>76</v>
      </c>
      <c r="J43" s="49">
        <v>1</v>
      </c>
      <c r="K43" s="45">
        <v>3.22</v>
      </c>
    </row>
    <row r="44" spans="1:11" ht="16.5" customHeight="1" x14ac:dyDescent="0.3">
      <c r="A44" s="48">
        <v>46036</v>
      </c>
      <c r="B44" s="42" t="s">
        <v>34</v>
      </c>
      <c r="D44" s="42" t="s">
        <v>35</v>
      </c>
      <c r="E44" s="42" t="s">
        <v>74</v>
      </c>
      <c r="F44" s="44" t="s">
        <v>88</v>
      </c>
      <c r="H44" s="44" t="s">
        <v>76</v>
      </c>
      <c r="J44" s="49">
        <v>1</v>
      </c>
      <c r="K44" s="45">
        <v>21.28</v>
      </c>
    </row>
    <row r="45" spans="1:11" ht="16.5" customHeight="1" x14ac:dyDescent="0.3">
      <c r="A45" s="48">
        <v>46036</v>
      </c>
      <c r="B45" s="42" t="s">
        <v>34</v>
      </c>
      <c r="D45" s="42" t="s">
        <v>35</v>
      </c>
      <c r="E45" s="42" t="s">
        <v>74</v>
      </c>
      <c r="F45" s="44" t="s">
        <v>89</v>
      </c>
      <c r="H45" s="44" t="s">
        <v>76</v>
      </c>
      <c r="J45" s="49">
        <v>1</v>
      </c>
      <c r="K45" s="45">
        <v>29.96</v>
      </c>
    </row>
    <row r="46" spans="1:11" ht="16.5" customHeight="1" x14ac:dyDescent="0.3">
      <c r="A46" s="48">
        <v>46036</v>
      </c>
      <c r="B46" s="42" t="s">
        <v>34</v>
      </c>
      <c r="D46" s="42" t="s">
        <v>35</v>
      </c>
      <c r="E46" s="42" t="s">
        <v>74</v>
      </c>
      <c r="F46" s="44" t="s">
        <v>90</v>
      </c>
      <c r="H46" s="44" t="s">
        <v>76</v>
      </c>
      <c r="J46" s="49">
        <v>1</v>
      </c>
      <c r="K46" s="45">
        <v>3.22</v>
      </c>
    </row>
    <row r="47" spans="1:11" ht="16.5" customHeight="1" x14ac:dyDescent="0.3">
      <c r="A47" s="48">
        <v>46036</v>
      </c>
      <c r="B47" s="42" t="s">
        <v>34</v>
      </c>
      <c r="D47" s="42" t="s">
        <v>35</v>
      </c>
      <c r="E47" s="42" t="s">
        <v>74</v>
      </c>
      <c r="F47" s="44" t="s">
        <v>91</v>
      </c>
      <c r="H47" s="44" t="s">
        <v>76</v>
      </c>
      <c r="J47" s="49">
        <v>1</v>
      </c>
      <c r="K47" s="45">
        <v>2.93</v>
      </c>
    </row>
    <row r="48" spans="1:11" ht="16.5" customHeight="1" x14ac:dyDescent="0.3">
      <c r="A48" s="48">
        <v>46036</v>
      </c>
      <c r="B48" s="42" t="s">
        <v>34</v>
      </c>
      <c r="D48" s="42" t="s">
        <v>35</v>
      </c>
      <c r="E48" s="42" t="s">
        <v>74</v>
      </c>
      <c r="F48" s="44" t="s">
        <v>92</v>
      </c>
      <c r="H48" s="44" t="s">
        <v>76</v>
      </c>
      <c r="J48" s="49">
        <v>1</v>
      </c>
      <c r="K48" s="45">
        <v>62.85</v>
      </c>
    </row>
    <row r="49" spans="1:16" ht="16.5" customHeight="1" x14ac:dyDescent="0.3">
      <c r="A49" s="48">
        <v>46036</v>
      </c>
      <c r="B49" s="42" t="s">
        <v>34</v>
      </c>
      <c r="D49" s="42" t="s">
        <v>35</v>
      </c>
      <c r="E49" s="42" t="s">
        <v>74</v>
      </c>
      <c r="F49" s="44" t="s">
        <v>93</v>
      </c>
      <c r="H49" s="44" t="s">
        <v>76</v>
      </c>
      <c r="J49" s="49">
        <v>1</v>
      </c>
      <c r="K49" s="45">
        <v>8.9</v>
      </c>
    </row>
    <row r="50" spans="1:16" ht="16.5" customHeight="1" x14ac:dyDescent="0.3">
      <c r="A50" s="48">
        <v>46036</v>
      </c>
      <c r="B50" s="42" t="s">
        <v>34</v>
      </c>
      <c r="D50" s="42" t="s">
        <v>35</v>
      </c>
      <c r="E50" s="42" t="s">
        <v>74</v>
      </c>
      <c r="F50" s="44" t="s">
        <v>94</v>
      </c>
      <c r="H50" s="44" t="s">
        <v>76</v>
      </c>
      <c r="J50" s="49">
        <v>1</v>
      </c>
      <c r="K50" s="45">
        <v>6.21</v>
      </c>
    </row>
    <row r="51" spans="1:16" ht="16.5" customHeight="1" x14ac:dyDescent="0.3">
      <c r="A51" s="48">
        <v>46036</v>
      </c>
      <c r="B51" s="42" t="s">
        <v>34</v>
      </c>
      <c r="D51" s="42" t="s">
        <v>35</v>
      </c>
      <c r="E51" s="42" t="s">
        <v>74</v>
      </c>
      <c r="F51" s="44" t="s">
        <v>95</v>
      </c>
      <c r="H51" s="44" t="s">
        <v>76</v>
      </c>
      <c r="J51" s="49">
        <v>1</v>
      </c>
      <c r="K51" s="45">
        <v>6.21</v>
      </c>
    </row>
    <row r="52" spans="1:16" ht="16.5" customHeight="1" x14ac:dyDescent="0.3">
      <c r="A52" s="48">
        <v>46036</v>
      </c>
      <c r="B52" s="42" t="s">
        <v>34</v>
      </c>
      <c r="D52" s="42" t="s">
        <v>35</v>
      </c>
      <c r="E52" s="42" t="s">
        <v>74</v>
      </c>
      <c r="F52" s="44" t="s">
        <v>96</v>
      </c>
      <c r="H52" s="44" t="s">
        <v>76</v>
      </c>
      <c r="J52" s="49">
        <v>1</v>
      </c>
      <c r="K52" s="45">
        <v>6.21</v>
      </c>
    </row>
    <row r="53" spans="1:16" ht="16.5" customHeight="1" x14ac:dyDescent="0.3">
      <c r="A53" s="48">
        <v>46036</v>
      </c>
      <c r="B53" s="42" t="s">
        <v>34</v>
      </c>
      <c r="D53" s="42" t="s">
        <v>35</v>
      </c>
      <c r="E53" s="42" t="s">
        <v>74</v>
      </c>
      <c r="F53" s="44" t="s">
        <v>97</v>
      </c>
      <c r="H53" s="44" t="s">
        <v>76</v>
      </c>
      <c r="J53" s="49">
        <v>1</v>
      </c>
      <c r="K53" s="45">
        <v>5.69</v>
      </c>
    </row>
    <row r="54" spans="1:16" ht="16.5" customHeight="1" x14ac:dyDescent="0.3">
      <c r="A54" s="48">
        <v>46036</v>
      </c>
      <c r="B54" s="42" t="s">
        <v>34</v>
      </c>
      <c r="D54" s="42" t="s">
        <v>35</v>
      </c>
      <c r="E54" s="42" t="s">
        <v>74</v>
      </c>
      <c r="F54" s="44" t="s">
        <v>98</v>
      </c>
      <c r="H54" s="44" t="s">
        <v>76</v>
      </c>
      <c r="J54" s="49">
        <v>1</v>
      </c>
      <c r="K54" s="45">
        <v>1.02</v>
      </c>
    </row>
    <row r="55" spans="1:16" ht="16.5" customHeight="1" x14ac:dyDescent="0.3">
      <c r="A55" s="48">
        <v>46036</v>
      </c>
      <c r="B55" s="42" t="s">
        <v>34</v>
      </c>
      <c r="D55" s="42" t="s">
        <v>35</v>
      </c>
      <c r="E55" s="42" t="s">
        <v>74</v>
      </c>
      <c r="F55" s="44" t="s">
        <v>99</v>
      </c>
      <c r="H55" s="44" t="s">
        <v>76</v>
      </c>
      <c r="J55" s="49">
        <v>1</v>
      </c>
      <c r="K55" s="45">
        <v>0</v>
      </c>
      <c r="L55" s="45" t="s">
        <v>196</v>
      </c>
      <c r="M55" s="54"/>
      <c r="N55" s="54"/>
      <c r="P55" s="7">
        <v>3</v>
      </c>
    </row>
    <row r="56" spans="1:16" ht="16.5" customHeight="1" x14ac:dyDescent="0.3">
      <c r="A56" s="48">
        <v>46036</v>
      </c>
      <c r="B56" s="42" t="s">
        <v>34</v>
      </c>
      <c r="D56" s="42" t="s">
        <v>35</v>
      </c>
      <c r="E56" s="42" t="s">
        <v>74</v>
      </c>
      <c r="F56" s="44" t="s">
        <v>100</v>
      </c>
      <c r="H56" s="44" t="s">
        <v>76</v>
      </c>
      <c r="J56" s="49">
        <v>1</v>
      </c>
      <c r="K56" s="45">
        <v>0</v>
      </c>
      <c r="L56" s="45" t="s">
        <v>196</v>
      </c>
      <c r="M56" s="54"/>
      <c r="N56" s="54"/>
    </row>
    <row r="57" spans="1:16" ht="16.5" customHeight="1" x14ac:dyDescent="0.3">
      <c r="A57" s="48">
        <v>46036</v>
      </c>
      <c r="B57" s="42" t="s">
        <v>34</v>
      </c>
      <c r="D57" s="42" t="s">
        <v>35</v>
      </c>
      <c r="E57" s="42" t="s">
        <v>74</v>
      </c>
      <c r="F57" s="44" t="s">
        <v>101</v>
      </c>
      <c r="H57" s="44" t="s">
        <v>76</v>
      </c>
      <c r="J57" s="49">
        <v>1</v>
      </c>
      <c r="K57" s="45">
        <v>1.18</v>
      </c>
      <c r="M57" s="54"/>
      <c r="N57" s="54"/>
    </row>
    <row r="58" spans="1:16" ht="16.5" customHeight="1" x14ac:dyDescent="0.3">
      <c r="A58" s="48">
        <v>46036</v>
      </c>
      <c r="B58" s="42" t="s">
        <v>34</v>
      </c>
      <c r="D58" s="42" t="s">
        <v>35</v>
      </c>
      <c r="E58" s="42" t="s">
        <v>74</v>
      </c>
      <c r="F58" s="44" t="s">
        <v>102</v>
      </c>
      <c r="H58" s="44" t="s">
        <v>76</v>
      </c>
      <c r="J58" s="49">
        <v>1</v>
      </c>
      <c r="K58" s="45">
        <v>4.17</v>
      </c>
      <c r="M58" s="54"/>
      <c r="N58" s="54"/>
    </row>
    <row r="59" spans="1:16" ht="16.5" customHeight="1" x14ac:dyDescent="0.3">
      <c r="A59" s="48">
        <v>46036</v>
      </c>
      <c r="B59" s="42" t="s">
        <v>34</v>
      </c>
      <c r="D59" s="42" t="s">
        <v>35</v>
      </c>
      <c r="E59" s="42" t="s">
        <v>74</v>
      </c>
      <c r="F59" s="44" t="s">
        <v>103</v>
      </c>
      <c r="H59" s="44" t="s">
        <v>76</v>
      </c>
      <c r="J59" s="49">
        <v>1</v>
      </c>
      <c r="K59" s="45">
        <v>16.05</v>
      </c>
    </row>
    <row r="60" spans="1:16" ht="16.5" customHeight="1" x14ac:dyDescent="0.3">
      <c r="A60" s="48">
        <v>46036</v>
      </c>
      <c r="B60" s="42" t="s">
        <v>34</v>
      </c>
      <c r="D60" s="42" t="s">
        <v>35</v>
      </c>
      <c r="E60" s="42" t="s">
        <v>74</v>
      </c>
      <c r="F60" s="44" t="s">
        <v>104</v>
      </c>
      <c r="H60" s="44" t="s">
        <v>76</v>
      </c>
      <c r="J60" s="49">
        <v>1</v>
      </c>
      <c r="K60" s="45">
        <v>26</v>
      </c>
    </row>
    <row r="61" spans="1:16" ht="16.5" customHeight="1" x14ac:dyDescent="0.3">
      <c r="A61" s="48">
        <v>46036</v>
      </c>
      <c r="B61" s="42" t="s">
        <v>34</v>
      </c>
      <c r="D61" s="42" t="s">
        <v>35</v>
      </c>
      <c r="E61" s="42" t="s">
        <v>74</v>
      </c>
      <c r="F61" s="44" t="s">
        <v>105</v>
      </c>
      <c r="H61" s="44" t="s">
        <v>76</v>
      </c>
      <c r="J61" s="49">
        <v>1</v>
      </c>
      <c r="K61" s="45">
        <v>1.36</v>
      </c>
    </row>
    <row r="62" spans="1:16" ht="16.5" customHeight="1" x14ac:dyDescent="0.3">
      <c r="A62" s="48">
        <v>46036</v>
      </c>
      <c r="B62" s="42" t="s">
        <v>34</v>
      </c>
      <c r="D62" s="42" t="s">
        <v>35</v>
      </c>
      <c r="E62" s="42" t="s">
        <v>74</v>
      </c>
      <c r="F62" s="44" t="s">
        <v>106</v>
      </c>
      <c r="H62" s="44" t="s">
        <v>76</v>
      </c>
      <c r="J62" s="49">
        <v>1</v>
      </c>
      <c r="K62" s="45">
        <v>12.79</v>
      </c>
    </row>
    <row r="63" spans="1:16" ht="16.5" customHeight="1" x14ac:dyDescent="0.3">
      <c r="A63" s="48">
        <v>46036</v>
      </c>
      <c r="B63" s="42" t="s">
        <v>34</v>
      </c>
      <c r="D63" s="42" t="s">
        <v>35</v>
      </c>
      <c r="E63" s="42" t="s">
        <v>74</v>
      </c>
      <c r="F63" s="44" t="s">
        <v>107</v>
      </c>
      <c r="H63" s="44" t="s">
        <v>76</v>
      </c>
      <c r="J63" s="49">
        <v>1</v>
      </c>
      <c r="K63" s="45">
        <v>1.99</v>
      </c>
    </row>
    <row r="64" spans="1:16" ht="16.5" customHeight="1" x14ac:dyDescent="0.3">
      <c r="A64" s="48">
        <v>46036</v>
      </c>
      <c r="B64" s="42" t="s">
        <v>34</v>
      </c>
      <c r="D64" s="42" t="s">
        <v>35</v>
      </c>
      <c r="E64" s="42" t="s">
        <v>74</v>
      </c>
      <c r="F64" s="44" t="s">
        <v>108</v>
      </c>
      <c r="H64" s="44" t="s">
        <v>76</v>
      </c>
      <c r="J64" s="49">
        <v>1</v>
      </c>
      <c r="K64" s="45">
        <v>0.53</v>
      </c>
    </row>
    <row r="65" spans="1:12" ht="16.5" customHeight="1" x14ac:dyDescent="0.3">
      <c r="A65" s="48">
        <v>46036</v>
      </c>
      <c r="B65" s="42" t="s">
        <v>34</v>
      </c>
      <c r="D65" s="42" t="s">
        <v>35</v>
      </c>
      <c r="E65" s="42" t="s">
        <v>74</v>
      </c>
      <c r="F65" s="44" t="s">
        <v>109</v>
      </c>
      <c r="H65" s="44" t="s">
        <v>76</v>
      </c>
      <c r="J65" s="49">
        <v>1</v>
      </c>
      <c r="K65" s="45">
        <v>7.04</v>
      </c>
    </row>
    <row r="66" spans="1:12" ht="16.5" customHeight="1" x14ac:dyDescent="0.3">
      <c r="A66" s="48">
        <v>46036</v>
      </c>
      <c r="B66" s="42" t="s">
        <v>34</v>
      </c>
      <c r="D66" s="42" t="s">
        <v>35</v>
      </c>
      <c r="E66" s="42" t="s">
        <v>74</v>
      </c>
      <c r="F66" s="44" t="s">
        <v>110</v>
      </c>
      <c r="H66" s="44" t="s">
        <v>76</v>
      </c>
      <c r="J66" s="49">
        <v>1</v>
      </c>
      <c r="K66" s="45">
        <v>1.99</v>
      </c>
    </row>
    <row r="67" spans="1:12" ht="16.5" customHeight="1" x14ac:dyDescent="0.3">
      <c r="A67" s="48">
        <v>46036</v>
      </c>
      <c r="B67" s="42" t="s">
        <v>34</v>
      </c>
      <c r="D67" s="42" t="s">
        <v>35</v>
      </c>
      <c r="E67" s="42" t="s">
        <v>74</v>
      </c>
      <c r="F67" s="44" t="s">
        <v>111</v>
      </c>
      <c r="H67" s="44" t="s">
        <v>76</v>
      </c>
      <c r="J67" s="49">
        <v>1</v>
      </c>
      <c r="K67" s="45">
        <v>0</v>
      </c>
      <c r="L67" s="45" t="s">
        <v>197</v>
      </c>
    </row>
    <row r="68" spans="1:12" ht="16.5" customHeight="1" x14ac:dyDescent="0.3">
      <c r="A68" s="48">
        <v>46036</v>
      </c>
      <c r="B68" s="42" t="s">
        <v>34</v>
      </c>
      <c r="D68" s="42" t="s">
        <v>35</v>
      </c>
      <c r="E68" s="42" t="s">
        <v>74</v>
      </c>
      <c r="F68" s="44" t="s">
        <v>112</v>
      </c>
      <c r="H68" s="44" t="s">
        <v>76</v>
      </c>
      <c r="J68" s="49">
        <v>1</v>
      </c>
      <c r="K68" s="45">
        <v>0</v>
      </c>
      <c r="L68" s="45" t="s">
        <v>198</v>
      </c>
    </row>
    <row r="69" spans="1:12" ht="16.5" customHeight="1" x14ac:dyDescent="0.3">
      <c r="A69" s="48">
        <v>46036</v>
      </c>
      <c r="B69" s="42" t="s">
        <v>34</v>
      </c>
      <c r="D69" s="42" t="s">
        <v>35</v>
      </c>
      <c r="E69" s="42" t="s">
        <v>74</v>
      </c>
      <c r="F69" s="44" t="s">
        <v>113</v>
      </c>
      <c r="H69" s="44" t="s">
        <v>76</v>
      </c>
      <c r="J69" s="49">
        <v>1</v>
      </c>
      <c r="K69" s="45">
        <v>8.3800000000000008</v>
      </c>
    </row>
    <row r="70" spans="1:12" ht="16.5" customHeight="1" x14ac:dyDescent="0.3">
      <c r="A70" s="48">
        <v>46036</v>
      </c>
      <c r="B70" s="42" t="s">
        <v>34</v>
      </c>
      <c r="D70" s="42" t="s">
        <v>35</v>
      </c>
      <c r="E70" s="42" t="s">
        <v>74</v>
      </c>
      <c r="F70" s="44" t="s">
        <v>114</v>
      </c>
      <c r="H70" s="44" t="s">
        <v>76</v>
      </c>
      <c r="J70" s="49">
        <v>1</v>
      </c>
      <c r="K70" s="45">
        <v>11.1</v>
      </c>
    </row>
    <row r="71" spans="1:12" ht="16.5" customHeight="1" x14ac:dyDescent="0.3">
      <c r="A71" s="48">
        <v>46036</v>
      </c>
      <c r="B71" s="42" t="s">
        <v>34</v>
      </c>
      <c r="D71" s="42" t="s">
        <v>35</v>
      </c>
      <c r="E71" s="42" t="s">
        <v>74</v>
      </c>
      <c r="F71" s="44" t="s">
        <v>115</v>
      </c>
      <c r="H71" s="44" t="s">
        <v>76</v>
      </c>
      <c r="J71" s="49">
        <v>1</v>
      </c>
      <c r="K71" s="45">
        <v>0</v>
      </c>
      <c r="L71" s="45" t="s">
        <v>199</v>
      </c>
    </row>
    <row r="72" spans="1:12" ht="16.5" customHeight="1" x14ac:dyDescent="0.3">
      <c r="A72" s="48">
        <v>46036</v>
      </c>
      <c r="B72" s="42" t="s">
        <v>34</v>
      </c>
      <c r="D72" s="42" t="s">
        <v>35</v>
      </c>
      <c r="E72" s="42" t="s">
        <v>74</v>
      </c>
      <c r="F72" s="44" t="s">
        <v>116</v>
      </c>
      <c r="H72" s="44" t="s">
        <v>76</v>
      </c>
      <c r="J72" s="49">
        <v>1</v>
      </c>
      <c r="K72" s="45">
        <v>2.2400000000000002</v>
      </c>
    </row>
    <row r="73" spans="1:12" ht="16.5" customHeight="1" x14ac:dyDescent="0.3">
      <c r="A73" s="48">
        <v>46036</v>
      </c>
      <c r="B73" s="42" t="s">
        <v>34</v>
      </c>
      <c r="D73" s="42" t="s">
        <v>35</v>
      </c>
      <c r="E73" s="42" t="s">
        <v>74</v>
      </c>
      <c r="F73" s="44" t="s">
        <v>117</v>
      </c>
      <c r="H73" s="44" t="s">
        <v>76</v>
      </c>
      <c r="J73" s="49">
        <v>1</v>
      </c>
      <c r="K73" s="45">
        <v>1.28</v>
      </c>
    </row>
    <row r="74" spans="1:12" ht="16.5" customHeight="1" x14ac:dyDescent="0.3">
      <c r="A74" s="48">
        <v>46036</v>
      </c>
      <c r="B74" s="42" t="s">
        <v>34</v>
      </c>
      <c r="D74" s="42" t="s">
        <v>35</v>
      </c>
      <c r="E74" s="42" t="s">
        <v>74</v>
      </c>
      <c r="F74" s="44" t="s">
        <v>118</v>
      </c>
      <c r="H74" s="44" t="s">
        <v>76</v>
      </c>
      <c r="J74" s="49">
        <v>1</v>
      </c>
      <c r="K74" s="45">
        <v>0</v>
      </c>
      <c r="L74" s="45" t="s">
        <v>200</v>
      </c>
    </row>
    <row r="75" spans="1:12" ht="16.5" customHeight="1" x14ac:dyDescent="0.3">
      <c r="A75" s="48">
        <v>46036</v>
      </c>
      <c r="B75" s="42" t="s">
        <v>34</v>
      </c>
      <c r="D75" s="42" t="s">
        <v>35</v>
      </c>
      <c r="E75" s="42" t="s">
        <v>74</v>
      </c>
      <c r="F75" s="44" t="s">
        <v>119</v>
      </c>
      <c r="H75" s="44" t="s">
        <v>76</v>
      </c>
      <c r="J75" s="49">
        <v>1</v>
      </c>
      <c r="K75" s="45">
        <v>1.48</v>
      </c>
    </row>
    <row r="76" spans="1:12" ht="16.5" customHeight="1" x14ac:dyDescent="0.3">
      <c r="A76" s="48">
        <v>46036</v>
      </c>
      <c r="B76" s="42" t="s">
        <v>34</v>
      </c>
      <c r="D76" s="42" t="s">
        <v>35</v>
      </c>
      <c r="E76" s="42" t="s">
        <v>74</v>
      </c>
      <c r="F76" s="44" t="s">
        <v>120</v>
      </c>
      <c r="H76" s="44" t="s">
        <v>76</v>
      </c>
      <c r="J76" s="49">
        <v>1</v>
      </c>
      <c r="K76" s="45">
        <v>152.47999999999999</v>
      </c>
    </row>
    <row r="77" spans="1:12" ht="16.5" customHeight="1" x14ac:dyDescent="0.3">
      <c r="A77" s="48">
        <v>46036</v>
      </c>
      <c r="B77" s="42" t="s">
        <v>34</v>
      </c>
      <c r="D77" s="42" t="s">
        <v>35</v>
      </c>
      <c r="E77" s="42" t="s">
        <v>74</v>
      </c>
      <c r="F77" s="44" t="s">
        <v>121</v>
      </c>
      <c r="H77" s="44" t="s">
        <v>76</v>
      </c>
      <c r="J77" s="49">
        <v>1</v>
      </c>
      <c r="K77" s="45">
        <v>0.88</v>
      </c>
    </row>
    <row r="78" spans="1:12" ht="16.5" customHeight="1" x14ac:dyDescent="0.3">
      <c r="A78" s="48">
        <v>46036</v>
      </c>
      <c r="B78" s="42" t="s">
        <v>34</v>
      </c>
      <c r="D78" s="42" t="s">
        <v>35</v>
      </c>
      <c r="E78" s="42" t="s">
        <v>74</v>
      </c>
      <c r="F78" s="44" t="s">
        <v>122</v>
      </c>
      <c r="H78" s="44" t="s">
        <v>76</v>
      </c>
      <c r="J78" s="49">
        <v>1</v>
      </c>
      <c r="K78" s="45">
        <v>0</v>
      </c>
      <c r="L78" s="45" t="s">
        <v>200</v>
      </c>
    </row>
    <row r="79" spans="1:12" ht="16.5" customHeight="1" x14ac:dyDescent="0.3">
      <c r="A79" s="48">
        <v>46036</v>
      </c>
      <c r="B79" s="42" t="s">
        <v>34</v>
      </c>
      <c r="D79" s="42" t="s">
        <v>35</v>
      </c>
      <c r="E79" s="42" t="s">
        <v>74</v>
      </c>
      <c r="F79" s="44" t="s">
        <v>123</v>
      </c>
      <c r="H79" s="44" t="s">
        <v>76</v>
      </c>
      <c r="J79" s="49">
        <v>1</v>
      </c>
      <c r="K79" s="45">
        <v>0.64</v>
      </c>
    </row>
    <row r="80" spans="1:12" ht="16.5" customHeight="1" x14ac:dyDescent="0.3">
      <c r="A80" s="48">
        <v>46036</v>
      </c>
      <c r="B80" s="42" t="s">
        <v>34</v>
      </c>
      <c r="D80" s="42" t="s">
        <v>35</v>
      </c>
      <c r="E80" s="42" t="s">
        <v>74</v>
      </c>
      <c r="F80" s="44" t="s">
        <v>124</v>
      </c>
      <c r="H80" s="44" t="s">
        <v>76</v>
      </c>
      <c r="J80" s="49">
        <v>1</v>
      </c>
      <c r="K80" s="45">
        <v>0</v>
      </c>
      <c r="L80" s="45" t="s">
        <v>200</v>
      </c>
    </row>
    <row r="81" spans="1:12" ht="16.5" customHeight="1" x14ac:dyDescent="0.3">
      <c r="A81" s="48">
        <v>46036</v>
      </c>
      <c r="B81" s="42" t="s">
        <v>34</v>
      </c>
      <c r="D81" s="42" t="s">
        <v>35</v>
      </c>
      <c r="E81" s="42" t="s">
        <v>74</v>
      </c>
      <c r="F81" s="44" t="s">
        <v>125</v>
      </c>
      <c r="H81" s="44" t="s">
        <v>76</v>
      </c>
      <c r="J81" s="49">
        <v>1</v>
      </c>
      <c r="K81" s="45">
        <v>5.33</v>
      </c>
    </row>
    <row r="82" spans="1:12" ht="16.5" customHeight="1" x14ac:dyDescent="0.3">
      <c r="A82" s="48">
        <v>46036</v>
      </c>
      <c r="B82" s="42" t="s">
        <v>34</v>
      </c>
      <c r="D82" s="42" t="s">
        <v>35</v>
      </c>
      <c r="E82" s="42" t="s">
        <v>74</v>
      </c>
      <c r="F82" s="44" t="s">
        <v>126</v>
      </c>
      <c r="H82" s="44" t="s">
        <v>76</v>
      </c>
      <c r="J82" s="49">
        <v>1</v>
      </c>
      <c r="K82" s="45">
        <v>0</v>
      </c>
      <c r="L82" s="45" t="s">
        <v>201</v>
      </c>
    </row>
    <row r="83" spans="1:12" ht="16.5" customHeight="1" x14ac:dyDescent="0.3">
      <c r="A83" s="48">
        <v>46036</v>
      </c>
      <c r="B83" s="42" t="s">
        <v>34</v>
      </c>
      <c r="D83" s="42" t="s">
        <v>35</v>
      </c>
      <c r="E83" s="42" t="s">
        <v>74</v>
      </c>
      <c r="F83" s="44" t="s">
        <v>127</v>
      </c>
      <c r="H83" s="44" t="s">
        <v>76</v>
      </c>
      <c r="J83" s="49">
        <v>1</v>
      </c>
      <c r="K83" s="45">
        <v>0.94</v>
      </c>
    </row>
    <row r="84" spans="1:12" ht="16.5" customHeight="1" x14ac:dyDescent="0.3">
      <c r="A84" s="48">
        <v>46036</v>
      </c>
      <c r="B84" s="42" t="s">
        <v>34</v>
      </c>
      <c r="D84" s="42" t="s">
        <v>35</v>
      </c>
      <c r="E84" s="42" t="s">
        <v>74</v>
      </c>
      <c r="F84" s="44" t="s">
        <v>128</v>
      </c>
      <c r="H84" s="44" t="s">
        <v>76</v>
      </c>
      <c r="J84" s="49">
        <v>1</v>
      </c>
      <c r="K84" s="45">
        <v>2.17</v>
      </c>
    </row>
    <row r="85" spans="1:12" ht="16.5" customHeight="1" x14ac:dyDescent="0.3">
      <c r="A85" s="48">
        <v>46036</v>
      </c>
      <c r="B85" s="42" t="s">
        <v>34</v>
      </c>
      <c r="D85" s="42" t="s">
        <v>35</v>
      </c>
      <c r="E85" s="42" t="s">
        <v>74</v>
      </c>
      <c r="F85" s="44" t="s">
        <v>129</v>
      </c>
      <c r="H85" s="44" t="s">
        <v>76</v>
      </c>
      <c r="J85" s="49">
        <v>1</v>
      </c>
      <c r="K85" s="45">
        <v>2.17</v>
      </c>
    </row>
    <row r="86" spans="1:12" ht="16.5" customHeight="1" x14ac:dyDescent="0.3">
      <c r="A86" s="48">
        <v>46036</v>
      </c>
      <c r="B86" s="42" t="s">
        <v>34</v>
      </c>
      <c r="D86" s="42" t="s">
        <v>35</v>
      </c>
      <c r="E86" s="42" t="s">
        <v>74</v>
      </c>
      <c r="F86" s="44" t="s">
        <v>130</v>
      </c>
      <c r="H86" s="44" t="s">
        <v>76</v>
      </c>
      <c r="J86" s="49">
        <v>1</v>
      </c>
      <c r="K86" s="45">
        <v>1.6</v>
      </c>
    </row>
    <row r="87" spans="1:12" ht="16.5" customHeight="1" x14ac:dyDescent="0.3">
      <c r="A87" s="48">
        <v>46036</v>
      </c>
      <c r="B87" s="42" t="s">
        <v>34</v>
      </c>
      <c r="D87" s="42" t="s">
        <v>35</v>
      </c>
      <c r="E87" s="42" t="s">
        <v>74</v>
      </c>
      <c r="F87" s="44" t="s">
        <v>131</v>
      </c>
      <c r="H87" s="44" t="s">
        <v>76</v>
      </c>
      <c r="J87" s="49">
        <v>1</v>
      </c>
      <c r="K87" s="45">
        <v>1.72</v>
      </c>
    </row>
    <row r="88" spans="1:12" ht="16.5" customHeight="1" x14ac:dyDescent="0.3">
      <c r="A88" s="48">
        <v>46036</v>
      </c>
      <c r="B88" s="42" t="s">
        <v>34</v>
      </c>
      <c r="D88" s="42" t="s">
        <v>35</v>
      </c>
      <c r="E88" s="42" t="s">
        <v>74</v>
      </c>
      <c r="F88" s="44" t="s">
        <v>132</v>
      </c>
      <c r="H88" s="44" t="s">
        <v>76</v>
      </c>
      <c r="J88" s="49">
        <v>1</v>
      </c>
      <c r="K88" s="45">
        <v>1.1100000000000001</v>
      </c>
    </row>
    <row r="89" spans="1:12" ht="16.5" customHeight="1" x14ac:dyDescent="0.3">
      <c r="A89" s="48">
        <v>46036</v>
      </c>
      <c r="B89" s="42" t="s">
        <v>34</v>
      </c>
      <c r="D89" s="42" t="s">
        <v>35</v>
      </c>
      <c r="E89" s="42" t="s">
        <v>74</v>
      </c>
      <c r="F89" s="44" t="s">
        <v>133</v>
      </c>
      <c r="H89" s="44" t="s">
        <v>76</v>
      </c>
      <c r="J89" s="49">
        <v>1</v>
      </c>
      <c r="K89" s="45">
        <v>0.78</v>
      </c>
    </row>
    <row r="90" spans="1:12" ht="16.5" customHeight="1" x14ac:dyDescent="0.3">
      <c r="A90" s="48">
        <v>46036</v>
      </c>
      <c r="B90" s="42" t="s">
        <v>34</v>
      </c>
      <c r="D90" s="42" t="s">
        <v>35</v>
      </c>
      <c r="E90" s="42" t="s">
        <v>74</v>
      </c>
      <c r="F90" s="44" t="s">
        <v>134</v>
      </c>
      <c r="H90" s="44" t="s">
        <v>76</v>
      </c>
      <c r="J90" s="49">
        <v>1</v>
      </c>
      <c r="K90" s="45">
        <v>2.39</v>
      </c>
    </row>
    <row r="91" spans="1:12" ht="16.5" customHeight="1" x14ac:dyDescent="0.3">
      <c r="A91" s="48">
        <v>46036</v>
      </c>
      <c r="B91" s="42" t="s">
        <v>34</v>
      </c>
      <c r="D91" s="42" t="s">
        <v>35</v>
      </c>
      <c r="E91" s="42" t="s">
        <v>74</v>
      </c>
      <c r="F91" s="44" t="s">
        <v>135</v>
      </c>
      <c r="H91" s="44" t="s">
        <v>76</v>
      </c>
      <c r="J91" s="49">
        <v>1</v>
      </c>
      <c r="K91" s="45">
        <v>0</v>
      </c>
      <c r="L91" s="45" t="s">
        <v>196</v>
      </c>
    </row>
    <row r="92" spans="1:12" ht="16.5" customHeight="1" x14ac:dyDescent="0.3">
      <c r="A92" s="48">
        <v>46036</v>
      </c>
      <c r="B92" s="42" t="s">
        <v>34</v>
      </c>
      <c r="D92" s="42" t="s">
        <v>35</v>
      </c>
      <c r="E92" s="42" t="s">
        <v>74</v>
      </c>
      <c r="F92" s="44" t="s">
        <v>136</v>
      </c>
      <c r="H92" s="44" t="s">
        <v>76</v>
      </c>
      <c r="J92" s="49">
        <v>1</v>
      </c>
      <c r="K92" s="45">
        <v>0</v>
      </c>
      <c r="L92" s="45" t="s">
        <v>196</v>
      </c>
    </row>
    <row r="93" spans="1:12" ht="16.5" customHeight="1" x14ac:dyDescent="0.3">
      <c r="A93" s="48">
        <v>46036</v>
      </c>
      <c r="B93" s="42" t="s">
        <v>34</v>
      </c>
      <c r="D93" s="42" t="s">
        <v>35</v>
      </c>
      <c r="E93" s="42" t="s">
        <v>74</v>
      </c>
      <c r="F93" s="44" t="s">
        <v>137</v>
      </c>
      <c r="H93" s="44" t="s">
        <v>76</v>
      </c>
      <c r="J93" s="49">
        <v>1</v>
      </c>
      <c r="K93" s="45">
        <v>0</v>
      </c>
      <c r="L93" s="45" t="s">
        <v>202</v>
      </c>
    </row>
    <row r="94" spans="1:12" ht="16.5" customHeight="1" x14ac:dyDescent="0.3">
      <c r="A94" s="48">
        <v>46036</v>
      </c>
      <c r="B94" s="42" t="s">
        <v>34</v>
      </c>
      <c r="D94" s="42" t="s">
        <v>35</v>
      </c>
      <c r="E94" s="42" t="s">
        <v>74</v>
      </c>
      <c r="F94" s="44" t="s">
        <v>138</v>
      </c>
      <c r="H94" s="44" t="s">
        <v>76</v>
      </c>
      <c r="J94" s="49">
        <v>1</v>
      </c>
      <c r="K94" s="45">
        <v>0</v>
      </c>
      <c r="L94" s="45" t="s">
        <v>202</v>
      </c>
    </row>
    <row r="95" spans="1:12" ht="16.5" customHeight="1" x14ac:dyDescent="0.3">
      <c r="A95" s="48">
        <v>46036</v>
      </c>
      <c r="B95" s="42" t="s">
        <v>34</v>
      </c>
      <c r="D95" s="42" t="s">
        <v>35</v>
      </c>
      <c r="E95" s="42" t="s">
        <v>74</v>
      </c>
      <c r="F95" s="44" t="s">
        <v>139</v>
      </c>
      <c r="H95" s="44" t="s">
        <v>76</v>
      </c>
      <c r="J95" s="49">
        <v>1</v>
      </c>
      <c r="K95" s="45">
        <v>0</v>
      </c>
      <c r="L95" s="45" t="s">
        <v>202</v>
      </c>
    </row>
    <row r="96" spans="1:12" ht="16.5" customHeight="1" x14ac:dyDescent="0.3">
      <c r="A96" s="48">
        <v>46036</v>
      </c>
      <c r="B96" s="42" t="s">
        <v>34</v>
      </c>
      <c r="D96" s="42" t="s">
        <v>35</v>
      </c>
      <c r="E96" s="42" t="s">
        <v>74</v>
      </c>
      <c r="F96" s="44" t="s">
        <v>140</v>
      </c>
      <c r="H96" s="44" t="s">
        <v>76</v>
      </c>
      <c r="J96" s="49">
        <v>1</v>
      </c>
      <c r="K96" s="45">
        <v>0</v>
      </c>
      <c r="L96" s="45" t="s">
        <v>202</v>
      </c>
    </row>
    <row r="97" spans="1:12" ht="16.5" customHeight="1" x14ac:dyDescent="0.3">
      <c r="A97" s="48">
        <v>46036</v>
      </c>
      <c r="B97" s="42" t="s">
        <v>34</v>
      </c>
      <c r="D97" s="42" t="s">
        <v>35</v>
      </c>
      <c r="E97" s="42" t="s">
        <v>74</v>
      </c>
      <c r="F97" s="44" t="s">
        <v>141</v>
      </c>
      <c r="H97" s="44" t="s">
        <v>76</v>
      </c>
      <c r="J97" s="49">
        <v>1</v>
      </c>
      <c r="K97" s="45">
        <v>0</v>
      </c>
      <c r="L97" s="45" t="s">
        <v>202</v>
      </c>
    </row>
    <row r="98" spans="1:12" ht="16.5" customHeight="1" x14ac:dyDescent="0.3">
      <c r="A98" s="48">
        <v>46036</v>
      </c>
      <c r="B98" s="42" t="s">
        <v>34</v>
      </c>
      <c r="D98" s="42" t="s">
        <v>35</v>
      </c>
      <c r="E98" s="42" t="s">
        <v>74</v>
      </c>
      <c r="F98" s="44" t="s">
        <v>142</v>
      </c>
      <c r="H98" s="44" t="s">
        <v>76</v>
      </c>
      <c r="J98" s="49">
        <v>1</v>
      </c>
      <c r="K98" s="45">
        <v>0</v>
      </c>
      <c r="L98" s="45" t="s">
        <v>196</v>
      </c>
    </row>
    <row r="99" spans="1:12" ht="16.5" customHeight="1" x14ac:dyDescent="0.3">
      <c r="A99" s="48">
        <v>46036</v>
      </c>
      <c r="B99" s="42" t="s">
        <v>34</v>
      </c>
      <c r="D99" s="42" t="s">
        <v>35</v>
      </c>
      <c r="E99" s="42" t="s">
        <v>74</v>
      </c>
      <c r="F99" s="44" t="s">
        <v>143</v>
      </c>
      <c r="H99" s="44" t="s">
        <v>76</v>
      </c>
      <c r="J99" s="49">
        <v>1</v>
      </c>
      <c r="K99" s="45">
        <v>0</v>
      </c>
      <c r="L99" s="45" t="s">
        <v>196</v>
      </c>
    </row>
    <row r="100" spans="1:12" ht="16.5" customHeight="1" x14ac:dyDescent="0.3">
      <c r="A100" s="48">
        <v>46036</v>
      </c>
      <c r="B100" s="42" t="s">
        <v>34</v>
      </c>
      <c r="D100" s="42" t="s">
        <v>35</v>
      </c>
      <c r="E100" s="42" t="s">
        <v>74</v>
      </c>
      <c r="F100" s="44" t="s">
        <v>144</v>
      </c>
      <c r="H100" s="44" t="s">
        <v>76</v>
      </c>
      <c r="J100" s="49">
        <v>1</v>
      </c>
      <c r="K100" s="45">
        <v>21.67</v>
      </c>
    </row>
    <row r="101" spans="1:12" ht="16.5" customHeight="1" x14ac:dyDescent="0.3">
      <c r="A101" s="48">
        <v>46036</v>
      </c>
      <c r="B101" s="42" t="s">
        <v>34</v>
      </c>
      <c r="D101" s="42" t="s">
        <v>35</v>
      </c>
      <c r="E101" s="42" t="s">
        <v>74</v>
      </c>
      <c r="F101" s="44" t="s">
        <v>145</v>
      </c>
      <c r="H101" s="44" t="s">
        <v>76</v>
      </c>
      <c r="J101" s="49">
        <v>1</v>
      </c>
      <c r="K101" s="45">
        <v>8.32</v>
      </c>
    </row>
    <row r="102" spans="1:12" ht="16.5" customHeight="1" x14ac:dyDescent="0.3">
      <c r="A102" s="48">
        <v>46036</v>
      </c>
      <c r="B102" s="42" t="s">
        <v>34</v>
      </c>
      <c r="D102" s="42" t="s">
        <v>35</v>
      </c>
      <c r="E102" s="42" t="s">
        <v>74</v>
      </c>
      <c r="F102" s="44" t="s">
        <v>146</v>
      </c>
      <c r="H102" s="44" t="s">
        <v>195</v>
      </c>
      <c r="J102" s="49">
        <v>1</v>
      </c>
      <c r="K102" s="45">
        <v>0.53</v>
      </c>
    </row>
    <row r="103" spans="1:12" ht="16.5" customHeight="1" x14ac:dyDescent="0.3">
      <c r="A103" s="48">
        <v>46036</v>
      </c>
      <c r="B103" s="42" t="s">
        <v>34</v>
      </c>
      <c r="D103" s="42" t="s">
        <v>35</v>
      </c>
      <c r="E103" s="42" t="s">
        <v>74</v>
      </c>
      <c r="F103" s="44" t="s">
        <v>147</v>
      </c>
      <c r="H103" s="44" t="s">
        <v>76</v>
      </c>
      <c r="J103" s="49">
        <v>1</v>
      </c>
      <c r="K103" s="45">
        <v>0.41</v>
      </c>
    </row>
    <row r="104" spans="1:12" ht="16.5" customHeight="1" x14ac:dyDescent="0.3">
      <c r="A104" s="48">
        <v>46036</v>
      </c>
      <c r="B104" s="42" t="s">
        <v>34</v>
      </c>
      <c r="D104" s="42" t="s">
        <v>35</v>
      </c>
      <c r="E104" s="42" t="s">
        <v>74</v>
      </c>
      <c r="F104" s="44" t="s">
        <v>148</v>
      </c>
      <c r="H104" s="44" t="s">
        <v>195</v>
      </c>
      <c r="J104" s="49">
        <v>1</v>
      </c>
      <c r="K104" s="45">
        <v>1.49</v>
      </c>
    </row>
    <row r="105" spans="1:12" ht="16.5" customHeight="1" x14ac:dyDescent="0.3">
      <c r="A105" s="48">
        <v>46036</v>
      </c>
      <c r="B105" s="42" t="s">
        <v>34</v>
      </c>
      <c r="D105" s="42" t="s">
        <v>35</v>
      </c>
      <c r="E105" s="42" t="s">
        <v>74</v>
      </c>
      <c r="F105" s="44" t="s">
        <v>149</v>
      </c>
      <c r="H105" s="44" t="s">
        <v>195</v>
      </c>
      <c r="J105" s="49">
        <v>1</v>
      </c>
      <c r="K105" s="45">
        <v>0.51</v>
      </c>
    </row>
    <row r="106" spans="1:12" ht="16.5" customHeight="1" x14ac:dyDescent="0.3">
      <c r="A106" s="48">
        <v>46036</v>
      </c>
      <c r="B106" s="42" t="s">
        <v>34</v>
      </c>
      <c r="D106" s="42" t="s">
        <v>35</v>
      </c>
      <c r="E106" s="42" t="s">
        <v>74</v>
      </c>
      <c r="F106" s="44" t="s">
        <v>150</v>
      </c>
      <c r="H106" s="44" t="s">
        <v>195</v>
      </c>
      <c r="J106" s="49">
        <v>1</v>
      </c>
      <c r="K106" s="45">
        <v>1.98</v>
      </c>
    </row>
    <row r="107" spans="1:12" ht="16.5" customHeight="1" x14ac:dyDescent="0.3">
      <c r="A107" s="48">
        <v>46036</v>
      </c>
      <c r="B107" s="42" t="s">
        <v>34</v>
      </c>
      <c r="D107" s="42" t="s">
        <v>35</v>
      </c>
      <c r="E107" s="42" t="s">
        <v>74</v>
      </c>
      <c r="F107" s="44" t="s">
        <v>151</v>
      </c>
      <c r="H107" s="44" t="s">
        <v>195</v>
      </c>
      <c r="J107" s="49">
        <v>1</v>
      </c>
      <c r="K107" s="45">
        <v>1.98</v>
      </c>
    </row>
    <row r="108" spans="1:12" ht="16.5" customHeight="1" x14ac:dyDescent="0.3">
      <c r="A108" s="48">
        <v>46036</v>
      </c>
      <c r="B108" s="42" t="s">
        <v>34</v>
      </c>
      <c r="D108" s="42" t="s">
        <v>35</v>
      </c>
      <c r="E108" s="42" t="s">
        <v>74</v>
      </c>
      <c r="F108" s="44" t="s">
        <v>152</v>
      </c>
      <c r="H108" s="44" t="s">
        <v>195</v>
      </c>
      <c r="J108" s="49">
        <v>1</v>
      </c>
      <c r="K108" s="45">
        <v>1.01</v>
      </c>
    </row>
    <row r="109" spans="1:12" ht="16.5" customHeight="1" x14ac:dyDescent="0.3">
      <c r="A109" s="48">
        <v>46036</v>
      </c>
      <c r="B109" s="42" t="s">
        <v>34</v>
      </c>
      <c r="D109" s="42" t="s">
        <v>35</v>
      </c>
      <c r="E109" s="42" t="s">
        <v>74</v>
      </c>
      <c r="F109" s="44" t="s">
        <v>153</v>
      </c>
      <c r="H109" s="44" t="s">
        <v>195</v>
      </c>
      <c r="J109" s="49">
        <v>1</v>
      </c>
      <c r="K109" s="45">
        <v>0.53</v>
      </c>
    </row>
    <row r="110" spans="1:12" ht="16.5" customHeight="1" x14ac:dyDescent="0.3">
      <c r="A110" s="48">
        <v>46036</v>
      </c>
      <c r="B110" s="42" t="s">
        <v>34</v>
      </c>
      <c r="D110" s="42" t="s">
        <v>35</v>
      </c>
      <c r="E110" s="42" t="s">
        <v>74</v>
      </c>
      <c r="F110" s="44" t="s">
        <v>154</v>
      </c>
      <c r="H110" s="44" t="s">
        <v>76</v>
      </c>
      <c r="J110" s="49">
        <v>1</v>
      </c>
      <c r="K110" s="45">
        <v>50.65</v>
      </c>
    </row>
    <row r="111" spans="1:12" ht="16.5" customHeight="1" x14ac:dyDescent="0.3">
      <c r="A111" s="48">
        <v>46036</v>
      </c>
      <c r="B111" s="42" t="s">
        <v>34</v>
      </c>
      <c r="D111" s="42" t="s">
        <v>35</v>
      </c>
      <c r="E111" s="42" t="s">
        <v>74</v>
      </c>
      <c r="F111" s="44" t="s">
        <v>155</v>
      </c>
      <c r="H111" s="44" t="s">
        <v>76</v>
      </c>
      <c r="J111" s="49">
        <v>1</v>
      </c>
      <c r="K111" s="45">
        <v>0</v>
      </c>
      <c r="L111" s="45" t="s">
        <v>202</v>
      </c>
    </row>
    <row r="112" spans="1:12" ht="16.5" customHeight="1" x14ac:dyDescent="0.3">
      <c r="A112" s="48">
        <v>46036</v>
      </c>
      <c r="B112" s="42" t="s">
        <v>34</v>
      </c>
      <c r="D112" s="42" t="s">
        <v>35</v>
      </c>
      <c r="E112" s="42" t="s">
        <v>74</v>
      </c>
      <c r="F112" s="44" t="s">
        <v>156</v>
      </c>
      <c r="H112" s="44" t="s">
        <v>76</v>
      </c>
      <c r="J112" s="49">
        <v>1</v>
      </c>
      <c r="K112" s="45">
        <v>0</v>
      </c>
      <c r="L112" s="45" t="s">
        <v>202</v>
      </c>
    </row>
    <row r="113" spans="1:12" ht="16.5" customHeight="1" x14ac:dyDescent="0.3">
      <c r="A113" s="48">
        <v>46036</v>
      </c>
      <c r="B113" s="42" t="s">
        <v>34</v>
      </c>
      <c r="D113" s="42" t="s">
        <v>35</v>
      </c>
      <c r="E113" s="42" t="s">
        <v>74</v>
      </c>
      <c r="F113" s="44" t="s">
        <v>157</v>
      </c>
      <c r="H113" s="44" t="s">
        <v>76</v>
      </c>
      <c r="J113" s="49">
        <v>1</v>
      </c>
      <c r="K113" s="45">
        <v>0</v>
      </c>
      <c r="L113" s="45" t="s">
        <v>202</v>
      </c>
    </row>
    <row r="114" spans="1:12" ht="16.5" customHeight="1" x14ac:dyDescent="0.3">
      <c r="A114" s="48">
        <v>46036</v>
      </c>
      <c r="B114" s="42" t="s">
        <v>34</v>
      </c>
      <c r="D114" s="42" t="s">
        <v>35</v>
      </c>
      <c r="E114" s="42" t="s">
        <v>74</v>
      </c>
      <c r="F114" s="44" t="s">
        <v>158</v>
      </c>
      <c r="H114" s="44" t="s">
        <v>76</v>
      </c>
      <c r="J114" s="49">
        <v>1</v>
      </c>
      <c r="K114" s="45">
        <v>25.92</v>
      </c>
    </row>
    <row r="115" spans="1:12" ht="16.5" customHeight="1" x14ac:dyDescent="0.3">
      <c r="A115" s="48">
        <v>46036</v>
      </c>
      <c r="B115" s="42" t="s">
        <v>34</v>
      </c>
      <c r="D115" s="42" t="s">
        <v>35</v>
      </c>
      <c r="E115" s="42" t="s">
        <v>74</v>
      </c>
      <c r="F115" s="44" t="s">
        <v>159</v>
      </c>
      <c r="G115" s="55"/>
      <c r="H115" s="44" t="s">
        <v>76</v>
      </c>
      <c r="J115" s="49">
        <v>1</v>
      </c>
      <c r="K115" s="46">
        <v>0</v>
      </c>
      <c r="L115" s="46" t="s">
        <v>203</v>
      </c>
    </row>
    <row r="116" spans="1:12" ht="16.5" customHeight="1" x14ac:dyDescent="0.3">
      <c r="A116" s="48">
        <v>46036</v>
      </c>
      <c r="B116" s="42" t="s">
        <v>34</v>
      </c>
      <c r="D116" s="42" t="s">
        <v>35</v>
      </c>
      <c r="E116" s="42" t="s">
        <v>74</v>
      </c>
      <c r="F116" s="44" t="s">
        <v>160</v>
      </c>
      <c r="G116" s="55"/>
      <c r="H116" s="44" t="s">
        <v>195</v>
      </c>
      <c r="J116" s="49">
        <v>1</v>
      </c>
      <c r="K116" s="46">
        <v>0.53</v>
      </c>
      <c r="L116" s="46"/>
    </row>
    <row r="117" spans="1:12" ht="16.5" customHeight="1" x14ac:dyDescent="0.3">
      <c r="A117" s="48">
        <v>46036</v>
      </c>
      <c r="B117" s="42" t="s">
        <v>34</v>
      </c>
      <c r="D117" s="42" t="s">
        <v>35</v>
      </c>
      <c r="E117" s="42" t="s">
        <v>74</v>
      </c>
      <c r="F117" s="44" t="s">
        <v>161</v>
      </c>
      <c r="G117" s="55"/>
      <c r="H117" s="44" t="s">
        <v>76</v>
      </c>
      <c r="J117" s="49">
        <v>1</v>
      </c>
      <c r="K117" s="46">
        <v>2.46</v>
      </c>
      <c r="L117" s="46"/>
    </row>
    <row r="118" spans="1:12" ht="16.5" customHeight="1" x14ac:dyDescent="0.3">
      <c r="A118" s="48">
        <v>46036</v>
      </c>
      <c r="B118" s="42" t="s">
        <v>34</v>
      </c>
      <c r="D118" s="42" t="s">
        <v>35</v>
      </c>
      <c r="E118" s="42" t="s">
        <v>74</v>
      </c>
      <c r="F118" s="44" t="s">
        <v>162</v>
      </c>
      <c r="G118" s="55"/>
      <c r="H118" s="44" t="s">
        <v>76</v>
      </c>
      <c r="J118" s="49">
        <v>1</v>
      </c>
      <c r="K118" s="45">
        <v>5.43</v>
      </c>
    </row>
    <row r="119" spans="1:12" ht="16.5" customHeight="1" x14ac:dyDescent="0.3">
      <c r="A119" s="48">
        <v>46036</v>
      </c>
      <c r="B119" s="42" t="s">
        <v>34</v>
      </c>
      <c r="D119" s="42" t="s">
        <v>35</v>
      </c>
      <c r="E119" s="42" t="s">
        <v>74</v>
      </c>
      <c r="F119" s="44" t="s">
        <v>163</v>
      </c>
      <c r="G119" s="55"/>
      <c r="H119" s="44" t="s">
        <v>76</v>
      </c>
      <c r="J119" s="49">
        <v>1</v>
      </c>
      <c r="K119" s="45">
        <v>0</v>
      </c>
      <c r="L119" s="45" t="s">
        <v>201</v>
      </c>
    </row>
    <row r="120" spans="1:12" ht="16.5" customHeight="1" x14ac:dyDescent="0.3">
      <c r="A120" s="48">
        <v>46036</v>
      </c>
      <c r="B120" s="42" t="s">
        <v>34</v>
      </c>
      <c r="D120" s="42" t="s">
        <v>35</v>
      </c>
      <c r="E120" s="42" t="s">
        <v>74</v>
      </c>
      <c r="F120" s="44" t="s">
        <v>164</v>
      </c>
      <c r="G120" s="55"/>
      <c r="H120" s="44" t="s">
        <v>76</v>
      </c>
      <c r="J120" s="49">
        <v>1</v>
      </c>
      <c r="K120" s="45">
        <v>4.67</v>
      </c>
    </row>
    <row r="121" spans="1:12" ht="16.5" customHeight="1" x14ac:dyDescent="0.3">
      <c r="A121" s="48">
        <v>46036</v>
      </c>
      <c r="B121" s="42" t="s">
        <v>34</v>
      </c>
      <c r="D121" s="42" t="s">
        <v>35</v>
      </c>
      <c r="E121" s="42" t="s">
        <v>74</v>
      </c>
      <c r="F121" s="44" t="s">
        <v>165</v>
      </c>
      <c r="G121" s="55"/>
      <c r="H121" s="44" t="s">
        <v>76</v>
      </c>
      <c r="J121" s="49">
        <v>1</v>
      </c>
      <c r="K121" s="45">
        <v>0</v>
      </c>
      <c r="L121" s="45" t="s">
        <v>196</v>
      </c>
    </row>
    <row r="122" spans="1:12" ht="16.5" customHeight="1" x14ac:dyDescent="0.3">
      <c r="A122" s="48">
        <v>46036</v>
      </c>
      <c r="B122" s="42" t="s">
        <v>34</v>
      </c>
      <c r="D122" s="42" t="s">
        <v>35</v>
      </c>
      <c r="E122" s="42" t="s">
        <v>74</v>
      </c>
      <c r="F122" s="44" t="s">
        <v>166</v>
      </c>
      <c r="G122" s="55"/>
      <c r="H122" s="44" t="s">
        <v>76</v>
      </c>
      <c r="J122" s="49">
        <v>1</v>
      </c>
      <c r="K122" s="45">
        <v>0</v>
      </c>
      <c r="L122" s="45" t="s">
        <v>196</v>
      </c>
    </row>
    <row r="123" spans="1:12" ht="16.5" customHeight="1" x14ac:dyDescent="0.3">
      <c r="A123" s="48">
        <v>46036</v>
      </c>
      <c r="B123" s="42" t="s">
        <v>34</v>
      </c>
      <c r="D123" s="42" t="s">
        <v>35</v>
      </c>
      <c r="E123" s="42" t="s">
        <v>74</v>
      </c>
      <c r="F123" s="44" t="s">
        <v>167</v>
      </c>
      <c r="G123" s="55"/>
      <c r="H123" s="44" t="s">
        <v>76</v>
      </c>
      <c r="J123" s="49">
        <v>1</v>
      </c>
      <c r="K123" s="45">
        <v>0.75</v>
      </c>
    </row>
    <row r="124" spans="1:12" ht="16.5" customHeight="1" x14ac:dyDescent="0.3">
      <c r="A124" s="48">
        <v>46036</v>
      </c>
      <c r="B124" s="42" t="s">
        <v>34</v>
      </c>
      <c r="D124" s="42" t="s">
        <v>35</v>
      </c>
      <c r="E124" s="42" t="s">
        <v>74</v>
      </c>
      <c r="F124" s="44" t="s">
        <v>168</v>
      </c>
      <c r="G124" s="55"/>
      <c r="H124" s="44" t="s">
        <v>76</v>
      </c>
      <c r="J124" s="49">
        <v>1</v>
      </c>
      <c r="K124" s="45">
        <v>0.9</v>
      </c>
    </row>
    <row r="125" spans="1:12" ht="16.5" customHeight="1" x14ac:dyDescent="0.3">
      <c r="A125" s="48">
        <v>46036</v>
      </c>
      <c r="B125" s="42" t="s">
        <v>34</v>
      </c>
      <c r="D125" s="42" t="s">
        <v>35</v>
      </c>
      <c r="E125" s="42" t="s">
        <v>74</v>
      </c>
      <c r="F125" s="44" t="s">
        <v>169</v>
      </c>
      <c r="G125" s="55"/>
      <c r="H125" s="44" t="s">
        <v>76</v>
      </c>
      <c r="J125" s="49">
        <v>1</v>
      </c>
      <c r="K125" s="45">
        <v>0</v>
      </c>
      <c r="L125" s="45" t="s">
        <v>204</v>
      </c>
    </row>
    <row r="126" spans="1:12" ht="16.5" customHeight="1" x14ac:dyDescent="0.3">
      <c r="A126" s="48">
        <v>46036</v>
      </c>
      <c r="B126" s="42" t="s">
        <v>34</v>
      </c>
      <c r="D126" s="42" t="s">
        <v>35</v>
      </c>
      <c r="E126" s="42" t="s">
        <v>74</v>
      </c>
      <c r="F126" s="44" t="s">
        <v>170</v>
      </c>
      <c r="G126" s="55"/>
      <c r="H126" s="44" t="s">
        <v>76</v>
      </c>
      <c r="J126" s="49">
        <v>1</v>
      </c>
      <c r="K126" s="45">
        <v>0.85</v>
      </c>
    </row>
    <row r="127" spans="1:12" ht="16.5" customHeight="1" x14ac:dyDescent="0.3">
      <c r="A127" s="48">
        <v>46036</v>
      </c>
      <c r="B127" s="42" t="s">
        <v>34</v>
      </c>
      <c r="D127" s="42" t="s">
        <v>35</v>
      </c>
      <c r="E127" s="42" t="s">
        <v>74</v>
      </c>
      <c r="F127" s="44" t="s">
        <v>171</v>
      </c>
      <c r="G127" s="55"/>
      <c r="H127" s="44" t="s">
        <v>76</v>
      </c>
      <c r="J127" s="49">
        <v>1</v>
      </c>
      <c r="K127" s="45">
        <v>1.85</v>
      </c>
    </row>
    <row r="128" spans="1:12" ht="16.5" customHeight="1" x14ac:dyDescent="0.3">
      <c r="A128" s="48">
        <v>46036</v>
      </c>
      <c r="B128" s="42" t="s">
        <v>34</v>
      </c>
      <c r="D128" s="42" t="s">
        <v>35</v>
      </c>
      <c r="E128" s="42" t="s">
        <v>74</v>
      </c>
      <c r="F128" s="44" t="s">
        <v>172</v>
      </c>
      <c r="G128" s="55"/>
      <c r="H128" s="44" t="s">
        <v>76</v>
      </c>
      <c r="J128" s="49">
        <v>1</v>
      </c>
      <c r="K128" s="45">
        <v>0.85</v>
      </c>
    </row>
    <row r="129" spans="1:12" ht="16.5" customHeight="1" x14ac:dyDescent="0.3">
      <c r="A129" s="48">
        <v>46036</v>
      </c>
      <c r="B129" s="42" t="s">
        <v>34</v>
      </c>
      <c r="D129" s="42" t="s">
        <v>35</v>
      </c>
      <c r="E129" s="42" t="s">
        <v>74</v>
      </c>
      <c r="F129" s="44" t="s">
        <v>173</v>
      </c>
      <c r="G129" s="55"/>
      <c r="H129" s="44" t="s">
        <v>76</v>
      </c>
      <c r="J129" s="49">
        <v>1</v>
      </c>
      <c r="K129" s="45">
        <v>1.8</v>
      </c>
    </row>
    <row r="130" spans="1:12" ht="16.5" customHeight="1" x14ac:dyDescent="0.3">
      <c r="A130" s="48">
        <v>46036</v>
      </c>
      <c r="B130" s="42" t="s">
        <v>34</v>
      </c>
      <c r="D130" s="42" t="s">
        <v>35</v>
      </c>
      <c r="E130" s="42" t="s">
        <v>74</v>
      </c>
      <c r="F130" s="44" t="s">
        <v>174</v>
      </c>
      <c r="G130" s="55"/>
      <c r="H130" s="44" t="s">
        <v>76</v>
      </c>
      <c r="J130" s="49">
        <v>1</v>
      </c>
      <c r="K130" s="45">
        <v>0</v>
      </c>
      <c r="L130" s="45" t="s">
        <v>205</v>
      </c>
    </row>
    <row r="131" spans="1:12" ht="16.5" customHeight="1" x14ac:dyDescent="0.3">
      <c r="A131" s="48">
        <v>46036</v>
      </c>
      <c r="B131" s="42" t="s">
        <v>34</v>
      </c>
      <c r="D131" s="42" t="s">
        <v>35</v>
      </c>
      <c r="E131" s="42" t="s">
        <v>74</v>
      </c>
      <c r="F131" s="44" t="s">
        <v>175</v>
      </c>
      <c r="G131" s="55"/>
      <c r="H131" s="44" t="s">
        <v>76</v>
      </c>
      <c r="J131" s="49">
        <v>1</v>
      </c>
      <c r="K131" s="45">
        <v>33.380000000000003</v>
      </c>
    </row>
    <row r="132" spans="1:12" ht="16.5" customHeight="1" x14ac:dyDescent="0.3">
      <c r="A132" s="48">
        <v>46036</v>
      </c>
      <c r="B132" s="42" t="s">
        <v>34</v>
      </c>
      <c r="D132" s="42" t="s">
        <v>35</v>
      </c>
      <c r="E132" s="42" t="s">
        <v>74</v>
      </c>
      <c r="F132" s="44" t="s">
        <v>176</v>
      </c>
      <c r="G132" s="55"/>
      <c r="H132" s="44" t="s">
        <v>76</v>
      </c>
      <c r="J132" s="49">
        <v>1</v>
      </c>
      <c r="K132" s="45">
        <v>0</v>
      </c>
      <c r="L132" s="45" t="s">
        <v>205</v>
      </c>
    </row>
    <row r="133" spans="1:12" ht="16.5" customHeight="1" x14ac:dyDescent="0.3">
      <c r="A133" s="48">
        <v>46036</v>
      </c>
      <c r="B133" s="42" t="s">
        <v>34</v>
      </c>
      <c r="D133" s="42" t="s">
        <v>35</v>
      </c>
      <c r="E133" s="42" t="s">
        <v>74</v>
      </c>
      <c r="F133" s="44" t="s">
        <v>177</v>
      </c>
      <c r="G133" s="55"/>
      <c r="H133" s="44" t="s">
        <v>76</v>
      </c>
      <c r="J133" s="49">
        <v>1</v>
      </c>
      <c r="K133" s="45">
        <v>0</v>
      </c>
      <c r="L133" s="45" t="s">
        <v>205</v>
      </c>
    </row>
    <row r="134" spans="1:12" ht="16.5" customHeight="1" x14ac:dyDescent="0.3">
      <c r="A134" s="48">
        <v>46036</v>
      </c>
      <c r="B134" s="42" t="s">
        <v>34</v>
      </c>
      <c r="D134" s="42" t="s">
        <v>35</v>
      </c>
      <c r="E134" s="42" t="s">
        <v>74</v>
      </c>
      <c r="F134" s="44" t="s">
        <v>178</v>
      </c>
      <c r="G134" s="55"/>
      <c r="H134" s="44" t="s">
        <v>76</v>
      </c>
      <c r="J134" s="49">
        <v>1</v>
      </c>
      <c r="K134" s="45">
        <v>0</v>
      </c>
      <c r="L134" s="45" t="s">
        <v>205</v>
      </c>
    </row>
    <row r="135" spans="1:12" ht="16.5" customHeight="1" x14ac:dyDescent="0.3">
      <c r="A135" s="48">
        <v>46036</v>
      </c>
      <c r="B135" s="42" t="s">
        <v>34</v>
      </c>
      <c r="D135" s="42" t="s">
        <v>35</v>
      </c>
      <c r="E135" s="42" t="s">
        <v>74</v>
      </c>
      <c r="F135" s="44" t="s">
        <v>179</v>
      </c>
      <c r="G135" s="55"/>
      <c r="H135" s="44" t="s">
        <v>76</v>
      </c>
      <c r="J135" s="49">
        <v>1</v>
      </c>
      <c r="K135" s="45">
        <v>2.2000000000000002</v>
      </c>
    </row>
    <row r="136" spans="1:12" ht="16.5" customHeight="1" x14ac:dyDescent="0.3">
      <c r="A136" s="48">
        <v>46036</v>
      </c>
      <c r="B136" s="42" t="s">
        <v>34</v>
      </c>
      <c r="D136" s="42" t="s">
        <v>35</v>
      </c>
      <c r="E136" s="42" t="s">
        <v>74</v>
      </c>
      <c r="F136" s="44" t="s">
        <v>180</v>
      </c>
      <c r="G136" s="55"/>
      <c r="H136" s="44" t="s">
        <v>76</v>
      </c>
      <c r="J136" s="49">
        <v>1</v>
      </c>
      <c r="K136" s="45">
        <v>1.6</v>
      </c>
    </row>
    <row r="137" spans="1:12" ht="16.5" customHeight="1" x14ac:dyDescent="0.3">
      <c r="A137" s="48">
        <v>46036</v>
      </c>
      <c r="B137" s="42" t="s">
        <v>34</v>
      </c>
      <c r="D137" s="42" t="s">
        <v>35</v>
      </c>
      <c r="E137" s="42" t="s">
        <v>74</v>
      </c>
      <c r="F137" s="44" t="s">
        <v>181</v>
      </c>
      <c r="G137" s="55"/>
      <c r="H137" s="44" t="s">
        <v>76</v>
      </c>
      <c r="J137" s="49">
        <v>1</v>
      </c>
      <c r="K137" s="45">
        <v>0.77</v>
      </c>
    </row>
    <row r="138" spans="1:12" ht="16.5" customHeight="1" x14ac:dyDescent="0.3">
      <c r="A138" s="48">
        <v>46036</v>
      </c>
      <c r="B138" s="42" t="s">
        <v>34</v>
      </c>
      <c r="D138" s="42" t="s">
        <v>35</v>
      </c>
      <c r="E138" s="42" t="s">
        <v>74</v>
      </c>
      <c r="F138" s="44" t="s">
        <v>182</v>
      </c>
      <c r="G138" s="55"/>
      <c r="H138" s="44" t="s">
        <v>76</v>
      </c>
      <c r="J138" s="49">
        <v>1</v>
      </c>
      <c r="K138" s="45">
        <v>0</v>
      </c>
      <c r="L138" s="45" t="s">
        <v>206</v>
      </c>
    </row>
    <row r="139" spans="1:12" ht="16.5" customHeight="1" x14ac:dyDescent="0.3">
      <c r="A139" s="48">
        <v>46036</v>
      </c>
      <c r="B139" s="42" t="s">
        <v>34</v>
      </c>
      <c r="D139" s="42" t="s">
        <v>35</v>
      </c>
      <c r="E139" s="42" t="s">
        <v>74</v>
      </c>
      <c r="F139" s="44" t="s">
        <v>183</v>
      </c>
      <c r="G139" s="55"/>
      <c r="H139" s="44" t="s">
        <v>76</v>
      </c>
      <c r="J139" s="49">
        <v>1</v>
      </c>
      <c r="K139" s="45">
        <v>6.35</v>
      </c>
    </row>
    <row r="140" spans="1:12" ht="16.5" customHeight="1" x14ac:dyDescent="0.3">
      <c r="A140" s="48">
        <v>46036</v>
      </c>
      <c r="B140" s="42" t="s">
        <v>34</v>
      </c>
      <c r="D140" s="42" t="s">
        <v>35</v>
      </c>
      <c r="E140" s="42" t="s">
        <v>74</v>
      </c>
      <c r="F140" s="44" t="s">
        <v>184</v>
      </c>
      <c r="G140" s="55"/>
      <c r="H140" s="44" t="s">
        <v>76</v>
      </c>
      <c r="J140" s="49">
        <v>1</v>
      </c>
      <c r="K140" s="45">
        <v>1.01</v>
      </c>
    </row>
    <row r="141" spans="1:12" ht="16.5" customHeight="1" x14ac:dyDescent="0.3">
      <c r="A141" s="48">
        <v>46036</v>
      </c>
      <c r="B141" s="42" t="s">
        <v>34</v>
      </c>
      <c r="D141" s="42" t="s">
        <v>35</v>
      </c>
      <c r="E141" s="42" t="s">
        <v>74</v>
      </c>
      <c r="F141" s="44" t="s">
        <v>185</v>
      </c>
      <c r="G141" s="55"/>
      <c r="H141" s="44" t="s">
        <v>76</v>
      </c>
      <c r="J141" s="49">
        <v>1</v>
      </c>
      <c r="K141" s="45">
        <v>0.77</v>
      </c>
    </row>
    <row r="142" spans="1:12" ht="16.5" customHeight="1" x14ac:dyDescent="0.3">
      <c r="A142" s="48">
        <v>46036</v>
      </c>
      <c r="B142" s="42" t="s">
        <v>34</v>
      </c>
      <c r="D142" s="42" t="s">
        <v>35</v>
      </c>
      <c r="E142" s="42" t="s">
        <v>74</v>
      </c>
      <c r="F142" s="44" t="s">
        <v>186</v>
      </c>
      <c r="G142" s="55"/>
      <c r="H142" s="44" t="s">
        <v>76</v>
      </c>
      <c r="J142" s="49">
        <v>1</v>
      </c>
      <c r="K142" s="45">
        <v>0.52</v>
      </c>
    </row>
    <row r="143" spans="1:12" ht="16.5" customHeight="1" x14ac:dyDescent="0.3">
      <c r="A143" s="48">
        <v>46036</v>
      </c>
      <c r="B143" s="42" t="s">
        <v>34</v>
      </c>
      <c r="D143" s="42" t="s">
        <v>35</v>
      </c>
      <c r="E143" s="42" t="s">
        <v>74</v>
      </c>
      <c r="F143" s="44" t="s">
        <v>187</v>
      </c>
      <c r="G143" s="55"/>
      <c r="H143" s="44" t="s">
        <v>76</v>
      </c>
      <c r="J143" s="49">
        <v>1</v>
      </c>
      <c r="K143" s="45">
        <v>0.78</v>
      </c>
    </row>
    <row r="144" spans="1:12" ht="16.5" customHeight="1" x14ac:dyDescent="0.3">
      <c r="A144" s="48">
        <v>46036</v>
      </c>
      <c r="B144" s="42" t="s">
        <v>34</v>
      </c>
      <c r="D144" s="42" t="s">
        <v>35</v>
      </c>
      <c r="E144" s="42" t="s">
        <v>74</v>
      </c>
      <c r="F144" s="44" t="s">
        <v>188</v>
      </c>
      <c r="G144" s="55"/>
      <c r="H144" s="44" t="s">
        <v>76</v>
      </c>
      <c r="J144" s="49">
        <v>1</v>
      </c>
      <c r="K144" s="45">
        <v>2.02</v>
      </c>
    </row>
    <row r="145" spans="1:12" ht="16.5" customHeight="1" x14ac:dyDescent="0.3">
      <c r="A145" s="48">
        <v>46036</v>
      </c>
      <c r="B145" s="42" t="s">
        <v>34</v>
      </c>
      <c r="D145" s="42" t="s">
        <v>35</v>
      </c>
      <c r="E145" s="42" t="s">
        <v>74</v>
      </c>
      <c r="F145" s="44" t="s">
        <v>189</v>
      </c>
      <c r="G145" s="55"/>
      <c r="H145" s="44" t="s">
        <v>76</v>
      </c>
      <c r="J145" s="49">
        <v>1</v>
      </c>
      <c r="K145" s="45">
        <v>0</v>
      </c>
      <c r="L145" s="45" t="s">
        <v>207</v>
      </c>
    </row>
    <row r="146" spans="1:12" ht="16.5" customHeight="1" x14ac:dyDescent="0.3">
      <c r="A146" s="48">
        <v>46036</v>
      </c>
      <c r="B146" s="42" t="s">
        <v>34</v>
      </c>
      <c r="D146" s="42" t="s">
        <v>35</v>
      </c>
      <c r="E146" s="42" t="s">
        <v>74</v>
      </c>
      <c r="F146" s="44" t="s">
        <v>190</v>
      </c>
      <c r="G146" s="55"/>
      <c r="H146" s="44" t="s">
        <v>76</v>
      </c>
      <c r="J146" s="49">
        <v>1</v>
      </c>
      <c r="K146" s="45">
        <v>0</v>
      </c>
      <c r="L146" s="45" t="s">
        <v>207</v>
      </c>
    </row>
    <row r="147" spans="1:12" ht="16.5" customHeight="1" x14ac:dyDescent="0.3">
      <c r="A147" s="48">
        <v>46036</v>
      </c>
      <c r="B147" s="42" t="s">
        <v>34</v>
      </c>
      <c r="D147" s="42" t="s">
        <v>35</v>
      </c>
      <c r="E147" s="42" t="s">
        <v>74</v>
      </c>
      <c r="F147" s="44" t="s">
        <v>191</v>
      </c>
      <c r="G147" s="55"/>
      <c r="H147" s="44" t="s">
        <v>76</v>
      </c>
      <c r="J147" s="49">
        <v>1</v>
      </c>
      <c r="K147" s="45">
        <v>0</v>
      </c>
      <c r="L147" s="45" t="s">
        <v>200</v>
      </c>
    </row>
    <row r="148" spans="1:12" ht="16.5" customHeight="1" x14ac:dyDescent="0.3">
      <c r="A148" s="48">
        <v>46036</v>
      </c>
      <c r="B148" s="42" t="s">
        <v>34</v>
      </c>
      <c r="D148" s="42" t="s">
        <v>35</v>
      </c>
      <c r="E148" s="42" t="s">
        <v>74</v>
      </c>
      <c r="F148" s="44" t="s">
        <v>192</v>
      </c>
      <c r="G148" s="55"/>
      <c r="H148" s="44" t="s">
        <v>76</v>
      </c>
      <c r="J148" s="49">
        <v>1</v>
      </c>
      <c r="K148" s="45">
        <v>10.48</v>
      </c>
    </row>
    <row r="149" spans="1:12" ht="16.5" customHeight="1" x14ac:dyDescent="0.3">
      <c r="A149" s="48">
        <v>46036</v>
      </c>
      <c r="B149" s="42" t="s">
        <v>34</v>
      </c>
      <c r="D149" s="42" t="s">
        <v>35</v>
      </c>
      <c r="E149" s="42" t="s">
        <v>74</v>
      </c>
      <c r="F149" s="44" t="s">
        <v>193</v>
      </c>
      <c r="G149" s="55"/>
      <c r="H149" s="44" t="s">
        <v>76</v>
      </c>
      <c r="J149" s="49">
        <v>1</v>
      </c>
      <c r="K149" s="45">
        <v>21.8</v>
      </c>
    </row>
    <row r="150" spans="1:12" ht="16.5" customHeight="1" x14ac:dyDescent="0.3">
      <c r="A150" s="48">
        <v>46036</v>
      </c>
      <c r="B150" s="42" t="s">
        <v>34</v>
      </c>
      <c r="D150" s="42" t="s">
        <v>35</v>
      </c>
      <c r="E150" s="42" t="s">
        <v>74</v>
      </c>
      <c r="F150" s="44" t="s">
        <v>194</v>
      </c>
      <c r="G150" s="55"/>
      <c r="H150" s="44" t="s">
        <v>76</v>
      </c>
      <c r="J150" s="49">
        <v>1</v>
      </c>
      <c r="K150" s="45">
        <v>0</v>
      </c>
      <c r="L150" s="45" t="s">
        <v>208</v>
      </c>
    </row>
    <row r="151" spans="1:12" ht="16.5" customHeight="1" x14ac:dyDescent="0.3">
      <c r="A151" s="48">
        <v>46036</v>
      </c>
      <c r="B151" s="42" t="s">
        <v>34</v>
      </c>
      <c r="D151" s="42" t="s">
        <v>35</v>
      </c>
      <c r="E151" s="42" t="s">
        <v>209</v>
      </c>
      <c r="F151" s="44" t="s">
        <v>712</v>
      </c>
      <c r="J151" s="49">
        <v>1</v>
      </c>
      <c r="K151" s="45">
        <v>0.5</v>
      </c>
    </row>
    <row r="152" spans="1:12" ht="16.5" customHeight="1" x14ac:dyDescent="0.3">
      <c r="A152" s="48">
        <v>46036</v>
      </c>
      <c r="B152" s="42" t="s">
        <v>34</v>
      </c>
      <c r="D152" s="42" t="s">
        <v>35</v>
      </c>
      <c r="E152" s="42" t="s">
        <v>209</v>
      </c>
      <c r="F152" s="44" t="s">
        <v>713</v>
      </c>
      <c r="J152" s="49">
        <v>1</v>
      </c>
      <c r="K152" s="45">
        <v>0.5</v>
      </c>
    </row>
    <row r="153" spans="1:12" ht="16.5" customHeight="1" x14ac:dyDescent="0.3">
      <c r="A153" s="48">
        <v>46036</v>
      </c>
      <c r="B153" s="42" t="s">
        <v>34</v>
      </c>
      <c r="D153" s="42" t="s">
        <v>35</v>
      </c>
      <c r="E153" s="42" t="s">
        <v>209</v>
      </c>
      <c r="F153" s="44" t="s">
        <v>714</v>
      </c>
      <c r="J153" s="49">
        <v>1</v>
      </c>
      <c r="K153" s="45">
        <v>0.6</v>
      </c>
    </row>
    <row r="154" spans="1:12" ht="16.5" customHeight="1" x14ac:dyDescent="0.3">
      <c r="A154" s="48">
        <v>46036</v>
      </c>
      <c r="B154" s="42" t="s">
        <v>34</v>
      </c>
      <c r="D154" s="42" t="s">
        <v>35</v>
      </c>
      <c r="E154" s="42" t="s">
        <v>209</v>
      </c>
      <c r="F154" s="44" t="s">
        <v>715</v>
      </c>
      <c r="J154" s="49">
        <v>35</v>
      </c>
      <c r="K154" s="45">
        <v>35</v>
      </c>
    </row>
    <row r="155" spans="1:12" ht="16.5" customHeight="1" x14ac:dyDescent="0.3">
      <c r="A155" s="48">
        <v>46036</v>
      </c>
      <c r="B155" s="42" t="s">
        <v>34</v>
      </c>
      <c r="D155" s="42" t="s">
        <v>35</v>
      </c>
      <c r="E155" s="42" t="s">
        <v>209</v>
      </c>
      <c r="F155" s="44" t="s">
        <v>716</v>
      </c>
      <c r="J155" s="49">
        <v>35</v>
      </c>
      <c r="K155" s="45">
        <v>42</v>
      </c>
    </row>
    <row r="156" spans="1:12" ht="16.5" customHeight="1" x14ac:dyDescent="0.3">
      <c r="A156" s="48">
        <v>46036</v>
      </c>
      <c r="B156" s="42" t="s">
        <v>34</v>
      </c>
      <c r="D156" s="42" t="s">
        <v>35</v>
      </c>
      <c r="E156" s="42" t="s">
        <v>209</v>
      </c>
      <c r="F156" s="44" t="s">
        <v>717</v>
      </c>
      <c r="J156" s="49">
        <v>35</v>
      </c>
      <c r="K156" s="45">
        <v>17.5</v>
      </c>
    </row>
    <row r="157" spans="1:12" ht="16.5" customHeight="1" x14ac:dyDescent="0.3">
      <c r="A157" s="48">
        <v>46036</v>
      </c>
      <c r="B157" s="42" t="s">
        <v>34</v>
      </c>
      <c r="D157" s="42" t="s">
        <v>35</v>
      </c>
      <c r="E157" s="42" t="s">
        <v>209</v>
      </c>
      <c r="F157" s="44" t="s">
        <v>718</v>
      </c>
      <c r="J157" s="49">
        <v>35</v>
      </c>
      <c r="K157" s="45">
        <v>3.5</v>
      </c>
    </row>
    <row r="158" spans="1:12" ht="16.5" customHeight="1" x14ac:dyDescent="0.3">
      <c r="A158" s="48">
        <v>46036</v>
      </c>
      <c r="B158" s="42" t="s">
        <v>34</v>
      </c>
      <c r="D158" s="42" t="s">
        <v>35</v>
      </c>
      <c r="E158" s="42" t="s">
        <v>209</v>
      </c>
      <c r="F158" s="44" t="s">
        <v>210</v>
      </c>
      <c r="J158" s="49">
        <v>1</v>
      </c>
      <c r="K158" s="45">
        <v>0.8</v>
      </c>
    </row>
    <row r="159" spans="1:12" ht="16.5" customHeight="1" x14ac:dyDescent="0.3">
      <c r="A159" s="48">
        <v>46036</v>
      </c>
      <c r="B159" s="42" t="s">
        <v>34</v>
      </c>
      <c r="D159" s="42" t="s">
        <v>35</v>
      </c>
      <c r="E159" s="42" t="s">
        <v>209</v>
      </c>
      <c r="F159" s="44" t="s">
        <v>211</v>
      </c>
      <c r="J159" s="49">
        <v>1</v>
      </c>
      <c r="K159" s="45">
        <v>0.8</v>
      </c>
    </row>
    <row r="160" spans="1:12" ht="16.5" customHeight="1" x14ac:dyDescent="0.3">
      <c r="A160" s="48">
        <v>46036</v>
      </c>
      <c r="B160" s="42" t="s">
        <v>34</v>
      </c>
      <c r="D160" s="42" t="s">
        <v>35</v>
      </c>
      <c r="E160" s="42" t="s">
        <v>209</v>
      </c>
      <c r="F160" s="44" t="s">
        <v>212</v>
      </c>
      <c r="J160" s="49">
        <v>1</v>
      </c>
      <c r="K160" s="45">
        <v>0.8</v>
      </c>
    </row>
    <row r="161" spans="1:14" ht="16.5" customHeight="1" x14ac:dyDescent="0.3">
      <c r="A161" s="48">
        <v>46036</v>
      </c>
      <c r="B161" s="42" t="s">
        <v>34</v>
      </c>
      <c r="D161" s="42" t="s">
        <v>35</v>
      </c>
      <c r="E161" s="42" t="s">
        <v>209</v>
      </c>
      <c r="F161" s="44" t="s">
        <v>213</v>
      </c>
      <c r="J161" s="49">
        <v>1</v>
      </c>
      <c r="K161" s="45">
        <v>0.7</v>
      </c>
    </row>
    <row r="162" spans="1:14" ht="16.5" customHeight="1" x14ac:dyDescent="0.3">
      <c r="A162" s="48">
        <v>46036</v>
      </c>
      <c r="B162" s="42" t="s">
        <v>34</v>
      </c>
      <c r="D162" s="42" t="s">
        <v>35</v>
      </c>
      <c r="E162" s="42" t="s">
        <v>209</v>
      </c>
      <c r="F162" s="44" t="s">
        <v>214</v>
      </c>
      <c r="J162" s="49">
        <v>1</v>
      </c>
      <c r="K162" s="45">
        <v>0.1</v>
      </c>
    </row>
    <row r="163" spans="1:14" ht="16.5" customHeight="1" x14ac:dyDescent="0.3">
      <c r="A163" s="48">
        <v>46036</v>
      </c>
      <c r="B163" s="42" t="s">
        <v>34</v>
      </c>
      <c r="D163" s="42" t="s">
        <v>35</v>
      </c>
      <c r="E163" s="42" t="s">
        <v>209</v>
      </c>
      <c r="F163" s="44" t="s">
        <v>215</v>
      </c>
      <c r="J163" s="49">
        <v>1</v>
      </c>
      <c r="K163" s="45">
        <v>0.8</v>
      </c>
    </row>
    <row r="164" spans="1:14" ht="16.5" customHeight="1" x14ac:dyDescent="0.3">
      <c r="A164" s="48">
        <v>46036</v>
      </c>
      <c r="B164" s="42" t="s">
        <v>34</v>
      </c>
      <c r="D164" s="42" t="s">
        <v>35</v>
      </c>
      <c r="E164" s="42" t="s">
        <v>209</v>
      </c>
      <c r="F164" s="44" t="s">
        <v>216</v>
      </c>
      <c r="J164" s="49">
        <v>1</v>
      </c>
      <c r="K164" s="45">
        <v>0.8</v>
      </c>
    </row>
    <row r="165" spans="1:14" ht="16.5" customHeight="1" x14ac:dyDescent="0.3">
      <c r="A165" s="48">
        <v>46036</v>
      </c>
      <c r="B165" s="42" t="s">
        <v>34</v>
      </c>
      <c r="D165" s="42" t="s">
        <v>35</v>
      </c>
      <c r="E165" s="42" t="s">
        <v>209</v>
      </c>
      <c r="F165" s="44" t="s">
        <v>217</v>
      </c>
      <c r="J165" s="49">
        <v>1</v>
      </c>
      <c r="K165" s="45">
        <v>0.8</v>
      </c>
    </row>
    <row r="166" spans="1:14" ht="16.5" customHeight="1" x14ac:dyDescent="0.3">
      <c r="A166" s="48">
        <v>46036</v>
      </c>
      <c r="B166" s="42" t="s">
        <v>34</v>
      </c>
      <c r="D166" s="42" t="s">
        <v>35</v>
      </c>
      <c r="E166" s="42" t="s">
        <v>209</v>
      </c>
      <c r="F166" s="44" t="s">
        <v>218</v>
      </c>
      <c r="J166" s="49">
        <v>1</v>
      </c>
      <c r="K166" s="45">
        <v>0.7</v>
      </c>
    </row>
    <row r="167" spans="1:14" ht="16.5" customHeight="1" x14ac:dyDescent="0.3">
      <c r="A167" s="48">
        <v>46036</v>
      </c>
      <c r="B167" s="42" t="s">
        <v>34</v>
      </c>
      <c r="D167" s="42" t="s">
        <v>35</v>
      </c>
      <c r="E167" s="42" t="s">
        <v>209</v>
      </c>
      <c r="F167" s="44" t="s">
        <v>219</v>
      </c>
      <c r="J167" s="49">
        <v>1</v>
      </c>
      <c r="K167" s="45">
        <v>0.7</v>
      </c>
    </row>
    <row r="168" spans="1:14" ht="16.5" customHeight="1" x14ac:dyDescent="0.3">
      <c r="A168" s="48">
        <v>46036</v>
      </c>
      <c r="B168" s="42" t="s">
        <v>34</v>
      </c>
      <c r="D168" s="42" t="s">
        <v>35</v>
      </c>
      <c r="E168" s="42" t="s">
        <v>209</v>
      </c>
      <c r="F168" s="44" t="s">
        <v>220</v>
      </c>
      <c r="J168" s="49">
        <v>1</v>
      </c>
      <c r="K168" s="45">
        <v>0.8</v>
      </c>
    </row>
    <row r="169" spans="1:14" ht="16.5" customHeight="1" x14ac:dyDescent="0.3">
      <c r="A169" s="48">
        <v>46036</v>
      </c>
      <c r="B169" s="42" t="s">
        <v>34</v>
      </c>
      <c r="D169" s="42" t="s">
        <v>35</v>
      </c>
      <c r="E169" s="42" t="s">
        <v>209</v>
      </c>
      <c r="F169" s="44" t="s">
        <v>221</v>
      </c>
      <c r="J169" s="49">
        <v>1</v>
      </c>
      <c r="K169" s="45">
        <v>0.8</v>
      </c>
    </row>
    <row r="170" spans="1:14" ht="16.5" customHeight="1" x14ac:dyDescent="0.3">
      <c r="A170" s="48">
        <v>46036</v>
      </c>
      <c r="B170" s="42" t="s">
        <v>34</v>
      </c>
      <c r="D170" s="42" t="s">
        <v>35</v>
      </c>
      <c r="E170" s="42" t="s">
        <v>209</v>
      </c>
      <c r="F170" s="44" t="s">
        <v>222</v>
      </c>
      <c r="J170" s="49">
        <v>1</v>
      </c>
      <c r="K170" s="45">
        <v>0.8</v>
      </c>
    </row>
    <row r="171" spans="1:14" ht="16.5" customHeight="1" x14ac:dyDescent="0.3">
      <c r="A171" s="48">
        <v>46036</v>
      </c>
      <c r="B171" s="42" t="s">
        <v>34</v>
      </c>
      <c r="D171" s="42" t="s">
        <v>35</v>
      </c>
      <c r="E171" s="42" t="s">
        <v>209</v>
      </c>
      <c r="F171" s="44" t="s">
        <v>223</v>
      </c>
      <c r="J171" s="49">
        <v>1</v>
      </c>
      <c r="K171" s="45">
        <v>0.8</v>
      </c>
      <c r="M171" s="56"/>
      <c r="N171" s="56"/>
    </row>
    <row r="172" spans="1:14" ht="16.5" customHeight="1" x14ac:dyDescent="0.3">
      <c r="A172" s="48">
        <v>46036</v>
      </c>
      <c r="B172" s="42" t="s">
        <v>34</v>
      </c>
      <c r="D172" s="42" t="s">
        <v>35</v>
      </c>
      <c r="E172" s="42" t="s">
        <v>209</v>
      </c>
      <c r="F172" s="44" t="s">
        <v>224</v>
      </c>
      <c r="J172" s="49">
        <v>1</v>
      </c>
      <c r="K172" s="45">
        <v>0.1</v>
      </c>
      <c r="M172" s="56"/>
      <c r="N172" s="56"/>
    </row>
    <row r="173" spans="1:14" ht="16.5" customHeight="1" x14ac:dyDescent="0.3">
      <c r="A173" s="48">
        <v>46036</v>
      </c>
      <c r="B173" s="42" t="s">
        <v>34</v>
      </c>
      <c r="D173" s="42" t="s">
        <v>35</v>
      </c>
      <c r="E173" s="42" t="s">
        <v>209</v>
      </c>
      <c r="F173" s="44" t="s">
        <v>225</v>
      </c>
      <c r="I173" s="40"/>
      <c r="J173" s="49">
        <v>1</v>
      </c>
      <c r="K173" s="45">
        <v>0.6</v>
      </c>
    </row>
    <row r="174" spans="1:14" ht="16.5" customHeight="1" x14ac:dyDescent="0.3">
      <c r="A174" s="48">
        <v>46036</v>
      </c>
      <c r="B174" s="42" t="s">
        <v>34</v>
      </c>
      <c r="D174" s="42" t="s">
        <v>35</v>
      </c>
      <c r="E174" s="42" t="s">
        <v>209</v>
      </c>
      <c r="F174" s="44" t="s">
        <v>226</v>
      </c>
      <c r="I174" s="40"/>
      <c r="J174" s="49">
        <v>1</v>
      </c>
      <c r="K174" s="45">
        <v>0.9</v>
      </c>
    </row>
    <row r="175" spans="1:14" ht="16.5" customHeight="1" x14ac:dyDescent="0.3">
      <c r="A175" s="48">
        <v>46036</v>
      </c>
      <c r="B175" s="42" t="s">
        <v>34</v>
      </c>
      <c r="D175" s="42" t="s">
        <v>35</v>
      </c>
      <c r="E175" s="42" t="s">
        <v>209</v>
      </c>
      <c r="F175" s="44" t="s">
        <v>227</v>
      </c>
      <c r="I175" s="40"/>
      <c r="J175" s="49">
        <v>1</v>
      </c>
      <c r="K175" s="45">
        <v>1.3</v>
      </c>
    </row>
    <row r="176" spans="1:14" ht="16.5" customHeight="1" x14ac:dyDescent="0.3">
      <c r="A176" s="48">
        <v>46036</v>
      </c>
      <c r="B176" s="42" t="s">
        <v>34</v>
      </c>
      <c r="D176" s="42" t="s">
        <v>35</v>
      </c>
      <c r="E176" s="42" t="s">
        <v>209</v>
      </c>
      <c r="F176" s="44" t="s">
        <v>228</v>
      </c>
      <c r="I176" s="40"/>
      <c r="J176" s="49">
        <v>1</v>
      </c>
      <c r="K176" s="45">
        <v>1</v>
      </c>
    </row>
    <row r="177" spans="1:11" ht="16.5" customHeight="1" x14ac:dyDescent="0.3">
      <c r="A177" s="48">
        <v>46036</v>
      </c>
      <c r="B177" s="42" t="s">
        <v>34</v>
      </c>
      <c r="D177" s="42" t="s">
        <v>35</v>
      </c>
      <c r="E177" s="42" t="s">
        <v>209</v>
      </c>
      <c r="F177" s="44" t="s">
        <v>229</v>
      </c>
      <c r="I177" s="40"/>
      <c r="J177" s="49">
        <v>1</v>
      </c>
      <c r="K177" s="45">
        <v>0.8</v>
      </c>
    </row>
    <row r="178" spans="1:11" ht="16.5" customHeight="1" x14ac:dyDescent="0.3">
      <c r="A178" s="48">
        <v>46036</v>
      </c>
      <c r="B178" s="42" t="s">
        <v>34</v>
      </c>
      <c r="D178" s="42" t="s">
        <v>35</v>
      </c>
      <c r="E178" s="42" t="s">
        <v>209</v>
      </c>
      <c r="F178" s="44" t="s">
        <v>230</v>
      </c>
      <c r="I178" s="40"/>
      <c r="J178" s="49">
        <v>1</v>
      </c>
      <c r="K178" s="45">
        <v>0.6</v>
      </c>
    </row>
    <row r="179" spans="1:11" ht="16.5" customHeight="1" x14ac:dyDescent="0.3">
      <c r="A179" s="48">
        <v>46036</v>
      </c>
      <c r="B179" s="42" t="s">
        <v>34</v>
      </c>
      <c r="D179" s="42" t="s">
        <v>35</v>
      </c>
      <c r="E179" s="42" t="s">
        <v>209</v>
      </c>
      <c r="F179" s="44" t="s">
        <v>231</v>
      </c>
      <c r="I179" s="40"/>
      <c r="J179" s="49">
        <v>1</v>
      </c>
      <c r="K179" s="45">
        <v>0.8</v>
      </c>
    </row>
    <row r="180" spans="1:11" ht="16.5" customHeight="1" x14ac:dyDescent="0.3">
      <c r="A180" s="48">
        <v>46036</v>
      </c>
      <c r="B180" s="42" t="s">
        <v>34</v>
      </c>
      <c r="D180" s="42" t="s">
        <v>35</v>
      </c>
      <c r="E180" s="42" t="s">
        <v>209</v>
      </c>
      <c r="F180" s="44" t="s">
        <v>232</v>
      </c>
      <c r="I180" s="40"/>
      <c r="J180" s="49">
        <v>1</v>
      </c>
      <c r="K180" s="45">
        <v>0.9</v>
      </c>
    </row>
    <row r="181" spans="1:11" ht="16.5" customHeight="1" x14ac:dyDescent="0.3">
      <c r="A181" s="48">
        <v>46036</v>
      </c>
      <c r="B181" s="42" t="s">
        <v>34</v>
      </c>
      <c r="D181" s="42" t="s">
        <v>35</v>
      </c>
      <c r="E181" s="42" t="s">
        <v>209</v>
      </c>
      <c r="F181" s="44" t="s">
        <v>233</v>
      </c>
      <c r="I181" s="40"/>
      <c r="J181" s="49">
        <v>1</v>
      </c>
      <c r="K181" s="45">
        <v>1</v>
      </c>
    </row>
    <row r="182" spans="1:11" ht="16.5" customHeight="1" x14ac:dyDescent="0.3">
      <c r="A182" s="48">
        <v>46036</v>
      </c>
      <c r="B182" s="42" t="s">
        <v>34</v>
      </c>
      <c r="D182" s="42" t="s">
        <v>35</v>
      </c>
      <c r="E182" s="42" t="s">
        <v>209</v>
      </c>
      <c r="F182" s="44" t="s">
        <v>234</v>
      </c>
      <c r="I182" s="40"/>
      <c r="J182" s="49">
        <v>1</v>
      </c>
      <c r="K182" s="45">
        <v>1</v>
      </c>
    </row>
    <row r="183" spans="1:11" ht="16.5" customHeight="1" x14ac:dyDescent="0.3">
      <c r="A183" s="48">
        <v>46036</v>
      </c>
      <c r="B183" s="42" t="s">
        <v>34</v>
      </c>
      <c r="D183" s="42" t="s">
        <v>35</v>
      </c>
      <c r="E183" s="42" t="s">
        <v>209</v>
      </c>
      <c r="F183" s="44" t="s">
        <v>235</v>
      </c>
      <c r="I183" s="40"/>
      <c r="J183" s="49">
        <v>1</v>
      </c>
      <c r="K183" s="45">
        <v>1.1000000000000001</v>
      </c>
    </row>
    <row r="184" spans="1:11" ht="16.5" customHeight="1" x14ac:dyDescent="0.3">
      <c r="A184" s="48">
        <v>46036</v>
      </c>
      <c r="B184" s="42" t="s">
        <v>34</v>
      </c>
      <c r="D184" s="42" t="s">
        <v>35</v>
      </c>
      <c r="E184" s="42" t="s">
        <v>209</v>
      </c>
      <c r="F184" s="44" t="s">
        <v>236</v>
      </c>
      <c r="I184" s="40"/>
      <c r="J184" s="49">
        <v>1</v>
      </c>
      <c r="K184" s="45">
        <v>0.8</v>
      </c>
    </row>
    <row r="185" spans="1:11" ht="16.5" customHeight="1" x14ac:dyDescent="0.3">
      <c r="A185" s="48">
        <v>46036</v>
      </c>
      <c r="B185" s="42" t="s">
        <v>34</v>
      </c>
      <c r="D185" s="42" t="s">
        <v>35</v>
      </c>
      <c r="E185" s="42" t="s">
        <v>209</v>
      </c>
      <c r="F185" s="44" t="s">
        <v>237</v>
      </c>
      <c r="I185" s="40"/>
      <c r="J185" s="49">
        <v>1</v>
      </c>
      <c r="K185" s="45">
        <v>0.8</v>
      </c>
    </row>
    <row r="186" spans="1:11" ht="16.5" customHeight="1" x14ac:dyDescent="0.3">
      <c r="A186" s="48">
        <v>46036</v>
      </c>
      <c r="B186" s="42" t="s">
        <v>34</v>
      </c>
      <c r="D186" s="42" t="s">
        <v>35</v>
      </c>
      <c r="E186" s="42" t="s">
        <v>209</v>
      </c>
      <c r="F186" s="44" t="s">
        <v>238</v>
      </c>
      <c r="I186" s="40"/>
      <c r="J186" s="49">
        <v>1</v>
      </c>
      <c r="K186" s="45">
        <v>0.6</v>
      </c>
    </row>
    <row r="187" spans="1:11" ht="16.5" customHeight="1" x14ac:dyDescent="0.3">
      <c r="A187" s="48">
        <v>46036</v>
      </c>
      <c r="B187" s="42" t="s">
        <v>34</v>
      </c>
      <c r="D187" s="42" t="s">
        <v>35</v>
      </c>
      <c r="E187" s="42" t="s">
        <v>209</v>
      </c>
      <c r="F187" s="44" t="s">
        <v>239</v>
      </c>
      <c r="I187" s="40"/>
      <c r="J187" s="49">
        <v>1</v>
      </c>
      <c r="K187" s="45">
        <v>0.1</v>
      </c>
    </row>
    <row r="188" spans="1:11" ht="16.5" customHeight="1" x14ac:dyDescent="0.3">
      <c r="A188" s="48">
        <v>46036</v>
      </c>
      <c r="B188" s="42" t="s">
        <v>34</v>
      </c>
      <c r="D188" s="42" t="s">
        <v>35</v>
      </c>
      <c r="E188" s="42" t="s">
        <v>209</v>
      </c>
      <c r="F188" s="44" t="s">
        <v>240</v>
      </c>
      <c r="I188" s="40"/>
      <c r="J188" s="49">
        <v>1</v>
      </c>
      <c r="K188" s="45">
        <v>0.6</v>
      </c>
    </row>
    <row r="189" spans="1:11" ht="16.5" customHeight="1" x14ac:dyDescent="0.3">
      <c r="A189" s="48">
        <v>46036</v>
      </c>
      <c r="B189" s="42" t="s">
        <v>34</v>
      </c>
      <c r="D189" s="42" t="s">
        <v>35</v>
      </c>
      <c r="E189" s="42" t="s">
        <v>209</v>
      </c>
      <c r="F189" s="44" t="s">
        <v>241</v>
      </c>
      <c r="I189" s="40"/>
      <c r="J189" s="49">
        <v>1</v>
      </c>
      <c r="K189" s="45">
        <v>0.4</v>
      </c>
    </row>
    <row r="190" spans="1:11" ht="16.5" customHeight="1" x14ac:dyDescent="0.3">
      <c r="A190" s="48">
        <v>46036</v>
      </c>
      <c r="B190" s="42" t="s">
        <v>34</v>
      </c>
      <c r="D190" s="42" t="s">
        <v>35</v>
      </c>
      <c r="E190" s="42" t="s">
        <v>209</v>
      </c>
      <c r="F190" s="44" t="s">
        <v>242</v>
      </c>
      <c r="I190" s="40"/>
      <c r="J190" s="49">
        <v>1</v>
      </c>
      <c r="K190" s="45">
        <v>1.4</v>
      </c>
    </row>
    <row r="191" spans="1:11" ht="16.5" customHeight="1" x14ac:dyDescent="0.3">
      <c r="A191" s="48">
        <v>46036</v>
      </c>
      <c r="B191" s="42" t="s">
        <v>34</v>
      </c>
      <c r="D191" s="42" t="s">
        <v>35</v>
      </c>
      <c r="E191" s="42" t="s">
        <v>209</v>
      </c>
      <c r="F191" s="44" t="s">
        <v>243</v>
      </c>
      <c r="I191" s="40"/>
      <c r="J191" s="49">
        <v>1</v>
      </c>
      <c r="K191" s="45">
        <v>0.1</v>
      </c>
    </row>
    <row r="192" spans="1:11" ht="16.5" customHeight="1" x14ac:dyDescent="0.3">
      <c r="A192" s="48">
        <v>46036</v>
      </c>
      <c r="B192" s="42" t="s">
        <v>34</v>
      </c>
      <c r="D192" s="42" t="s">
        <v>35</v>
      </c>
      <c r="E192" s="42" t="s">
        <v>209</v>
      </c>
      <c r="F192" s="44" t="s">
        <v>244</v>
      </c>
      <c r="I192" s="40"/>
      <c r="J192" s="49">
        <v>1</v>
      </c>
      <c r="K192" s="45">
        <v>1.5</v>
      </c>
    </row>
    <row r="193" spans="1:11" ht="16.5" customHeight="1" x14ac:dyDescent="0.3">
      <c r="A193" s="48">
        <v>46036</v>
      </c>
      <c r="B193" s="42" t="s">
        <v>34</v>
      </c>
      <c r="D193" s="42" t="s">
        <v>35</v>
      </c>
      <c r="E193" s="42" t="s">
        <v>209</v>
      </c>
      <c r="F193" s="44" t="s">
        <v>245</v>
      </c>
      <c r="I193" s="40"/>
      <c r="J193" s="49">
        <v>1</v>
      </c>
      <c r="K193" s="45">
        <v>1.5</v>
      </c>
    </row>
    <row r="194" spans="1:11" ht="16.5" customHeight="1" x14ac:dyDescent="0.3">
      <c r="A194" s="48">
        <v>46036</v>
      </c>
      <c r="B194" s="42" t="s">
        <v>34</v>
      </c>
      <c r="D194" s="42" t="s">
        <v>35</v>
      </c>
      <c r="E194" s="42" t="s">
        <v>209</v>
      </c>
      <c r="F194" s="44" t="s">
        <v>246</v>
      </c>
      <c r="I194" s="40"/>
      <c r="J194" s="49">
        <v>1</v>
      </c>
      <c r="K194" s="45">
        <v>0.8</v>
      </c>
    </row>
    <row r="195" spans="1:11" ht="16.5" customHeight="1" x14ac:dyDescent="0.3">
      <c r="A195" s="48">
        <v>46036</v>
      </c>
      <c r="B195" s="42" t="s">
        <v>34</v>
      </c>
      <c r="D195" s="42" t="s">
        <v>35</v>
      </c>
      <c r="E195" s="42" t="s">
        <v>209</v>
      </c>
      <c r="F195" s="44" t="s">
        <v>247</v>
      </c>
      <c r="J195" s="49">
        <v>1</v>
      </c>
      <c r="K195" s="45">
        <v>0.3</v>
      </c>
    </row>
    <row r="196" spans="1:11" ht="16.5" customHeight="1" x14ac:dyDescent="0.3">
      <c r="A196" s="48">
        <v>46036</v>
      </c>
      <c r="B196" s="42" t="s">
        <v>34</v>
      </c>
      <c r="D196" s="42" t="s">
        <v>35</v>
      </c>
      <c r="E196" s="42" t="s">
        <v>209</v>
      </c>
      <c r="F196" s="44" t="s">
        <v>248</v>
      </c>
      <c r="J196" s="49">
        <v>1</v>
      </c>
      <c r="K196" s="45">
        <v>7.2</v>
      </c>
    </row>
    <row r="197" spans="1:11" ht="16.5" customHeight="1" x14ac:dyDescent="0.3">
      <c r="A197" s="48">
        <v>46036</v>
      </c>
      <c r="B197" s="42" t="s">
        <v>34</v>
      </c>
      <c r="D197" s="42" t="s">
        <v>35</v>
      </c>
      <c r="E197" s="42" t="s">
        <v>209</v>
      </c>
      <c r="F197" s="44" t="s">
        <v>249</v>
      </c>
      <c r="J197" s="49">
        <v>1</v>
      </c>
      <c r="K197" s="45">
        <v>0.2</v>
      </c>
    </row>
    <row r="198" spans="1:11" ht="16.5" customHeight="1" x14ac:dyDescent="0.3">
      <c r="A198" s="48">
        <v>46036</v>
      </c>
      <c r="B198" s="42" t="s">
        <v>34</v>
      </c>
      <c r="D198" s="42" t="s">
        <v>35</v>
      </c>
      <c r="E198" s="42" t="s">
        <v>209</v>
      </c>
      <c r="F198" s="44" t="s">
        <v>250</v>
      </c>
      <c r="J198" s="49">
        <v>1</v>
      </c>
      <c r="K198" s="45">
        <v>1.9</v>
      </c>
    </row>
    <row r="199" spans="1:11" ht="16.5" customHeight="1" x14ac:dyDescent="0.3">
      <c r="A199" s="48">
        <v>46036</v>
      </c>
      <c r="B199" s="42" t="s">
        <v>34</v>
      </c>
      <c r="D199" s="42" t="s">
        <v>35</v>
      </c>
      <c r="E199" s="42" t="s">
        <v>209</v>
      </c>
      <c r="F199" s="44" t="s">
        <v>251</v>
      </c>
      <c r="J199" s="49">
        <v>1</v>
      </c>
      <c r="K199" s="45">
        <v>1.7</v>
      </c>
    </row>
    <row r="200" spans="1:11" ht="16.5" customHeight="1" x14ac:dyDescent="0.3">
      <c r="A200" s="48">
        <v>46036</v>
      </c>
      <c r="B200" s="42" t="s">
        <v>34</v>
      </c>
      <c r="D200" s="42" t="s">
        <v>35</v>
      </c>
      <c r="E200" s="42" t="s">
        <v>209</v>
      </c>
      <c r="F200" s="44" t="s">
        <v>252</v>
      </c>
      <c r="J200" s="49">
        <v>1</v>
      </c>
      <c r="K200" s="45">
        <v>2.6</v>
      </c>
    </row>
    <row r="201" spans="1:11" ht="16.5" customHeight="1" x14ac:dyDescent="0.3">
      <c r="A201" s="48">
        <v>46036</v>
      </c>
      <c r="B201" s="42" t="s">
        <v>34</v>
      </c>
      <c r="D201" s="42" t="s">
        <v>35</v>
      </c>
      <c r="E201" s="42" t="s">
        <v>209</v>
      </c>
      <c r="F201" s="44" t="s">
        <v>253</v>
      </c>
      <c r="J201" s="49">
        <v>1</v>
      </c>
      <c r="K201" s="45">
        <v>1.4</v>
      </c>
    </row>
    <row r="202" spans="1:11" ht="16.5" customHeight="1" x14ac:dyDescent="0.3">
      <c r="A202" s="48">
        <v>46036</v>
      </c>
      <c r="B202" s="42" t="s">
        <v>34</v>
      </c>
      <c r="D202" s="42" t="s">
        <v>35</v>
      </c>
      <c r="E202" s="42" t="s">
        <v>209</v>
      </c>
      <c r="F202" s="44" t="s">
        <v>254</v>
      </c>
      <c r="J202" s="49">
        <v>1</v>
      </c>
      <c r="K202" s="45">
        <v>3.4</v>
      </c>
    </row>
    <row r="203" spans="1:11" ht="16.5" customHeight="1" x14ac:dyDescent="0.3">
      <c r="A203" s="48">
        <v>46036</v>
      </c>
      <c r="B203" s="42" t="s">
        <v>34</v>
      </c>
      <c r="D203" s="42" t="s">
        <v>35</v>
      </c>
      <c r="E203" s="42" t="s">
        <v>209</v>
      </c>
      <c r="F203" s="44" t="s">
        <v>255</v>
      </c>
      <c r="J203" s="49">
        <v>1</v>
      </c>
      <c r="K203" s="45">
        <v>1.2</v>
      </c>
    </row>
    <row r="204" spans="1:11" ht="16.5" customHeight="1" x14ac:dyDescent="0.3">
      <c r="A204" s="48">
        <v>46036</v>
      </c>
      <c r="B204" s="42" t="s">
        <v>34</v>
      </c>
      <c r="D204" s="42" t="s">
        <v>35</v>
      </c>
      <c r="E204" s="42" t="s">
        <v>209</v>
      </c>
      <c r="F204" s="44" t="s">
        <v>256</v>
      </c>
      <c r="J204" s="49">
        <v>1</v>
      </c>
      <c r="K204" s="45">
        <v>7.5</v>
      </c>
    </row>
    <row r="205" spans="1:11" ht="16.5" customHeight="1" x14ac:dyDescent="0.3">
      <c r="A205" s="48">
        <v>46036</v>
      </c>
      <c r="B205" s="42" t="s">
        <v>34</v>
      </c>
      <c r="D205" s="42" t="s">
        <v>35</v>
      </c>
      <c r="E205" s="42" t="s">
        <v>209</v>
      </c>
      <c r="F205" s="44" t="s">
        <v>257</v>
      </c>
      <c r="J205" s="49">
        <v>1</v>
      </c>
      <c r="K205" s="45">
        <v>3.7</v>
      </c>
    </row>
    <row r="206" spans="1:11" ht="16.5" customHeight="1" x14ac:dyDescent="0.3">
      <c r="A206" s="48">
        <v>46036</v>
      </c>
      <c r="B206" s="42" t="s">
        <v>34</v>
      </c>
      <c r="D206" s="42" t="s">
        <v>35</v>
      </c>
      <c r="E206" s="42" t="s">
        <v>209</v>
      </c>
      <c r="F206" s="44" t="s">
        <v>258</v>
      </c>
      <c r="J206" s="49">
        <v>1</v>
      </c>
      <c r="K206" s="45">
        <v>0.9</v>
      </c>
    </row>
    <row r="207" spans="1:11" ht="16.5" customHeight="1" x14ac:dyDescent="0.3">
      <c r="A207" s="48">
        <v>46036</v>
      </c>
      <c r="B207" s="42" t="s">
        <v>34</v>
      </c>
      <c r="D207" s="42" t="s">
        <v>35</v>
      </c>
      <c r="E207" s="42" t="s">
        <v>209</v>
      </c>
      <c r="F207" s="44" t="s">
        <v>259</v>
      </c>
      <c r="J207" s="49">
        <v>1</v>
      </c>
      <c r="K207" s="45">
        <v>0.4</v>
      </c>
    </row>
    <row r="208" spans="1:11" ht="16.5" customHeight="1" x14ac:dyDescent="0.3">
      <c r="A208" s="48">
        <v>46036</v>
      </c>
      <c r="B208" s="42" t="s">
        <v>34</v>
      </c>
      <c r="D208" s="42" t="s">
        <v>35</v>
      </c>
      <c r="E208" s="42" t="s">
        <v>209</v>
      </c>
      <c r="F208" s="44" t="s">
        <v>260</v>
      </c>
      <c r="J208" s="49">
        <v>1</v>
      </c>
      <c r="K208" s="45">
        <v>1</v>
      </c>
    </row>
    <row r="209" spans="1:14" ht="16.5" customHeight="1" x14ac:dyDescent="0.3">
      <c r="A209" s="48">
        <v>46036</v>
      </c>
      <c r="B209" s="42" t="s">
        <v>34</v>
      </c>
      <c r="D209" s="42" t="s">
        <v>35</v>
      </c>
      <c r="E209" s="42" t="s">
        <v>209</v>
      </c>
      <c r="F209" s="44" t="s">
        <v>261</v>
      </c>
      <c r="J209" s="49">
        <v>1</v>
      </c>
      <c r="K209" s="45">
        <v>1.7</v>
      </c>
    </row>
    <row r="210" spans="1:14" ht="16.5" customHeight="1" x14ac:dyDescent="0.3">
      <c r="A210" s="48">
        <v>46036</v>
      </c>
      <c r="B210" s="42" t="s">
        <v>34</v>
      </c>
      <c r="D210" s="42" t="s">
        <v>35</v>
      </c>
      <c r="E210" s="42" t="s">
        <v>209</v>
      </c>
      <c r="F210" s="44" t="s">
        <v>262</v>
      </c>
      <c r="J210" s="49">
        <v>1</v>
      </c>
      <c r="K210" s="45">
        <v>2.2000000000000002</v>
      </c>
    </row>
    <row r="211" spans="1:14" ht="16.5" customHeight="1" x14ac:dyDescent="0.3">
      <c r="A211" s="48">
        <v>46036</v>
      </c>
      <c r="B211" s="42" t="s">
        <v>34</v>
      </c>
      <c r="D211" s="42" t="s">
        <v>35</v>
      </c>
      <c r="E211" s="42" t="s">
        <v>209</v>
      </c>
      <c r="F211" s="44" t="s">
        <v>263</v>
      </c>
      <c r="J211" s="49">
        <v>1</v>
      </c>
      <c r="K211" s="45">
        <v>0.2</v>
      </c>
    </row>
    <row r="212" spans="1:14" ht="16.5" customHeight="1" x14ac:dyDescent="0.3">
      <c r="A212" s="48">
        <v>46036</v>
      </c>
      <c r="B212" s="42" t="s">
        <v>34</v>
      </c>
      <c r="D212" s="42" t="s">
        <v>35</v>
      </c>
      <c r="E212" s="42" t="s">
        <v>209</v>
      </c>
      <c r="F212" s="44" t="s">
        <v>264</v>
      </c>
      <c r="J212" s="49">
        <v>1</v>
      </c>
      <c r="K212" s="45">
        <v>1.7</v>
      </c>
      <c r="M212" s="57"/>
      <c r="N212" s="57"/>
    </row>
    <row r="213" spans="1:14" ht="16.5" customHeight="1" x14ac:dyDescent="0.3">
      <c r="A213" s="48">
        <v>46036</v>
      </c>
      <c r="B213" s="42" t="s">
        <v>34</v>
      </c>
      <c r="D213" s="42" t="s">
        <v>35</v>
      </c>
      <c r="E213" s="42" t="s">
        <v>209</v>
      </c>
      <c r="F213" s="44" t="s">
        <v>265</v>
      </c>
      <c r="J213" s="49">
        <v>1</v>
      </c>
      <c r="K213" s="45">
        <v>1.4</v>
      </c>
    </row>
    <row r="214" spans="1:14" ht="16.5" customHeight="1" x14ac:dyDescent="0.3">
      <c r="A214" s="48">
        <v>46036</v>
      </c>
      <c r="B214" s="42" t="s">
        <v>34</v>
      </c>
      <c r="D214" s="42" t="s">
        <v>35</v>
      </c>
      <c r="E214" s="42" t="s">
        <v>209</v>
      </c>
      <c r="F214" s="44" t="s">
        <v>266</v>
      </c>
      <c r="J214" s="49">
        <v>1</v>
      </c>
      <c r="K214" s="45">
        <v>1.2</v>
      </c>
    </row>
    <row r="215" spans="1:14" ht="16.5" customHeight="1" x14ac:dyDescent="0.3">
      <c r="A215" s="48">
        <v>46036</v>
      </c>
      <c r="B215" s="42" t="s">
        <v>34</v>
      </c>
      <c r="D215" s="42" t="s">
        <v>35</v>
      </c>
      <c r="E215" s="42" t="s">
        <v>209</v>
      </c>
      <c r="F215" s="44" t="s">
        <v>267</v>
      </c>
      <c r="J215" s="49">
        <v>1</v>
      </c>
      <c r="K215" s="45">
        <v>1.2</v>
      </c>
    </row>
    <row r="216" spans="1:14" ht="16.5" customHeight="1" x14ac:dyDescent="0.3">
      <c r="A216" s="48">
        <v>46036</v>
      </c>
      <c r="B216" s="42" t="s">
        <v>34</v>
      </c>
      <c r="D216" s="42" t="s">
        <v>35</v>
      </c>
      <c r="E216" s="42" t="s">
        <v>209</v>
      </c>
      <c r="F216" s="44" t="s">
        <v>268</v>
      </c>
      <c r="J216" s="49">
        <v>1</v>
      </c>
      <c r="K216" s="45">
        <v>1.7</v>
      </c>
    </row>
    <row r="217" spans="1:14" ht="16.5" customHeight="1" x14ac:dyDescent="0.3">
      <c r="A217" s="48">
        <v>46036</v>
      </c>
      <c r="B217" s="42" t="s">
        <v>34</v>
      </c>
      <c r="D217" s="42" t="s">
        <v>35</v>
      </c>
      <c r="E217" s="42" t="s">
        <v>209</v>
      </c>
      <c r="F217" s="44" t="s">
        <v>269</v>
      </c>
      <c r="J217" s="49">
        <v>1</v>
      </c>
      <c r="K217" s="45">
        <v>2.4</v>
      </c>
    </row>
    <row r="218" spans="1:14" ht="16.5" customHeight="1" x14ac:dyDescent="0.3">
      <c r="A218" s="48">
        <v>46036</v>
      </c>
      <c r="B218" s="42" t="s">
        <v>34</v>
      </c>
      <c r="D218" s="42" t="s">
        <v>35</v>
      </c>
      <c r="E218" s="42" t="s">
        <v>209</v>
      </c>
      <c r="F218" s="44" t="s">
        <v>270</v>
      </c>
      <c r="J218" s="49">
        <v>1</v>
      </c>
      <c r="K218" s="46">
        <v>1.6</v>
      </c>
      <c r="L218" s="46"/>
      <c r="M218" s="58"/>
      <c r="N218" s="58"/>
    </row>
    <row r="219" spans="1:14" ht="16.5" customHeight="1" x14ac:dyDescent="0.3">
      <c r="A219" s="48">
        <v>46036</v>
      </c>
      <c r="B219" s="42" t="s">
        <v>34</v>
      </c>
      <c r="D219" s="42" t="s">
        <v>35</v>
      </c>
      <c r="E219" s="42" t="s">
        <v>209</v>
      </c>
      <c r="F219" s="44" t="s">
        <v>271</v>
      </c>
      <c r="J219" s="49">
        <v>1</v>
      </c>
      <c r="K219" s="46">
        <v>5</v>
      </c>
      <c r="L219" s="46"/>
      <c r="M219" s="58"/>
      <c r="N219" s="58"/>
    </row>
    <row r="220" spans="1:14" ht="16.5" customHeight="1" x14ac:dyDescent="0.3">
      <c r="A220" s="48">
        <v>46036</v>
      </c>
      <c r="B220" s="42" t="s">
        <v>34</v>
      </c>
      <c r="D220" s="42" t="s">
        <v>35</v>
      </c>
      <c r="E220" s="42" t="s">
        <v>209</v>
      </c>
      <c r="F220" s="44" t="s">
        <v>272</v>
      </c>
      <c r="J220" s="49">
        <v>1</v>
      </c>
      <c r="K220" s="45">
        <v>1</v>
      </c>
    </row>
    <row r="221" spans="1:14" ht="16.5" customHeight="1" x14ac:dyDescent="0.3">
      <c r="A221" s="48">
        <v>46036</v>
      </c>
      <c r="B221" s="42" t="s">
        <v>34</v>
      </c>
      <c r="D221" s="42" t="s">
        <v>35</v>
      </c>
      <c r="E221" s="42" t="s">
        <v>209</v>
      </c>
      <c r="F221" s="44" t="s">
        <v>273</v>
      </c>
      <c r="J221" s="49">
        <v>1</v>
      </c>
      <c r="K221" s="45">
        <v>0.5</v>
      </c>
    </row>
    <row r="222" spans="1:14" ht="16.5" customHeight="1" x14ac:dyDescent="0.3">
      <c r="A222" s="48">
        <v>46036</v>
      </c>
      <c r="B222" s="42" t="s">
        <v>34</v>
      </c>
      <c r="D222" s="42" t="s">
        <v>35</v>
      </c>
      <c r="E222" s="42" t="s">
        <v>209</v>
      </c>
      <c r="F222" s="44" t="s">
        <v>274</v>
      </c>
      <c r="G222" s="68"/>
      <c r="H222" s="68"/>
      <c r="I222" s="59"/>
      <c r="J222" s="49">
        <v>1</v>
      </c>
      <c r="K222" s="45">
        <v>0.3</v>
      </c>
    </row>
    <row r="223" spans="1:14" ht="16.5" customHeight="1" x14ac:dyDescent="0.3">
      <c r="A223" s="48">
        <v>46036</v>
      </c>
      <c r="B223" s="42" t="s">
        <v>34</v>
      </c>
      <c r="D223" s="42" t="s">
        <v>35</v>
      </c>
      <c r="E223" s="42" t="s">
        <v>209</v>
      </c>
      <c r="F223" s="44" t="s">
        <v>275</v>
      </c>
      <c r="I223" s="60"/>
      <c r="J223" s="49">
        <v>1</v>
      </c>
      <c r="K223" s="45">
        <v>0.5</v>
      </c>
    </row>
    <row r="224" spans="1:14" ht="16.5" customHeight="1" x14ac:dyDescent="0.3">
      <c r="A224" s="48">
        <v>46036</v>
      </c>
      <c r="B224" s="42" t="s">
        <v>34</v>
      </c>
      <c r="D224" s="42" t="s">
        <v>35</v>
      </c>
      <c r="E224" s="42" t="s">
        <v>209</v>
      </c>
      <c r="F224" s="44" t="s">
        <v>276</v>
      </c>
      <c r="I224" s="60"/>
      <c r="J224" s="49">
        <v>1</v>
      </c>
      <c r="K224" s="45">
        <v>1</v>
      </c>
    </row>
    <row r="225" spans="1:11" ht="16.5" customHeight="1" x14ac:dyDescent="0.3">
      <c r="A225" s="48">
        <v>46036</v>
      </c>
      <c r="B225" s="42" t="s">
        <v>34</v>
      </c>
      <c r="D225" s="42" t="s">
        <v>35</v>
      </c>
      <c r="E225" s="42" t="s">
        <v>209</v>
      </c>
      <c r="F225" s="44" t="s">
        <v>277</v>
      </c>
      <c r="I225" s="60"/>
      <c r="J225" s="49">
        <v>1</v>
      </c>
      <c r="K225" s="45">
        <v>0.5</v>
      </c>
    </row>
    <row r="226" spans="1:11" ht="16.5" customHeight="1" x14ac:dyDescent="0.3">
      <c r="A226" s="48">
        <v>46036</v>
      </c>
      <c r="B226" s="42" t="s">
        <v>34</v>
      </c>
      <c r="D226" s="42" t="s">
        <v>35</v>
      </c>
      <c r="E226" s="42" t="s">
        <v>209</v>
      </c>
      <c r="F226" s="44" t="s">
        <v>278</v>
      </c>
      <c r="I226" s="60"/>
      <c r="J226" s="49">
        <v>1</v>
      </c>
      <c r="K226" s="45">
        <v>0.1</v>
      </c>
    </row>
    <row r="227" spans="1:11" ht="16.5" customHeight="1" x14ac:dyDescent="0.3">
      <c r="A227" s="48">
        <v>46036</v>
      </c>
      <c r="B227" s="42" t="s">
        <v>34</v>
      </c>
      <c r="D227" s="42" t="s">
        <v>35</v>
      </c>
      <c r="E227" s="42" t="s">
        <v>209</v>
      </c>
      <c r="F227" s="44" t="s">
        <v>279</v>
      </c>
      <c r="I227" s="60"/>
      <c r="J227" s="49">
        <v>1</v>
      </c>
      <c r="K227" s="45">
        <v>0.1</v>
      </c>
    </row>
    <row r="228" spans="1:11" ht="16.5" customHeight="1" x14ac:dyDescent="0.3">
      <c r="A228" s="48">
        <v>46036</v>
      </c>
      <c r="B228" s="42" t="s">
        <v>34</v>
      </c>
      <c r="D228" s="42" t="s">
        <v>35</v>
      </c>
      <c r="E228" s="42" t="s">
        <v>209</v>
      </c>
      <c r="F228" s="44" t="s">
        <v>280</v>
      </c>
      <c r="I228" s="60"/>
      <c r="J228" s="49">
        <v>1</v>
      </c>
      <c r="K228" s="45">
        <v>0.3</v>
      </c>
    </row>
    <row r="229" spans="1:11" ht="16.5" customHeight="1" x14ac:dyDescent="0.3">
      <c r="A229" s="48">
        <v>46036</v>
      </c>
      <c r="B229" s="42" t="s">
        <v>34</v>
      </c>
      <c r="D229" s="42" t="s">
        <v>35</v>
      </c>
      <c r="E229" s="42" t="s">
        <v>209</v>
      </c>
      <c r="F229" s="44" t="s">
        <v>281</v>
      </c>
      <c r="I229" s="60"/>
      <c r="J229" s="49">
        <v>1</v>
      </c>
      <c r="K229" s="45">
        <v>1.6</v>
      </c>
    </row>
    <row r="230" spans="1:11" ht="16.5" customHeight="1" x14ac:dyDescent="0.3">
      <c r="A230" s="48">
        <v>46036</v>
      </c>
      <c r="B230" s="42" t="s">
        <v>34</v>
      </c>
      <c r="D230" s="42" t="s">
        <v>35</v>
      </c>
      <c r="E230" s="42" t="s">
        <v>209</v>
      </c>
      <c r="F230" s="44" t="s">
        <v>282</v>
      </c>
      <c r="I230" s="60"/>
      <c r="J230" s="49">
        <v>1</v>
      </c>
      <c r="K230" s="45">
        <v>1.1000000000000001</v>
      </c>
    </row>
    <row r="231" spans="1:11" ht="16.5" customHeight="1" x14ac:dyDescent="0.3">
      <c r="A231" s="48">
        <v>46036</v>
      </c>
      <c r="B231" s="42" t="s">
        <v>34</v>
      </c>
      <c r="D231" s="42" t="s">
        <v>35</v>
      </c>
      <c r="E231" s="42" t="s">
        <v>209</v>
      </c>
      <c r="F231" s="44" t="s">
        <v>283</v>
      </c>
      <c r="I231" s="60"/>
      <c r="J231" s="49">
        <v>1</v>
      </c>
      <c r="K231" s="45">
        <v>0.4</v>
      </c>
    </row>
    <row r="232" spans="1:11" ht="16.5" customHeight="1" x14ac:dyDescent="0.3">
      <c r="A232" s="48">
        <v>46036</v>
      </c>
      <c r="B232" s="42" t="s">
        <v>34</v>
      </c>
      <c r="D232" s="42" t="s">
        <v>35</v>
      </c>
      <c r="E232" s="42" t="s">
        <v>209</v>
      </c>
      <c r="F232" s="44" t="s">
        <v>284</v>
      </c>
      <c r="I232" s="60"/>
      <c r="J232" s="49">
        <v>1</v>
      </c>
      <c r="K232" s="45">
        <v>0.4</v>
      </c>
    </row>
    <row r="233" spans="1:11" ht="16.5" customHeight="1" x14ac:dyDescent="0.3">
      <c r="A233" s="48">
        <v>46036</v>
      </c>
      <c r="B233" s="42" t="s">
        <v>34</v>
      </c>
      <c r="D233" s="42" t="s">
        <v>35</v>
      </c>
      <c r="E233" s="42" t="s">
        <v>209</v>
      </c>
      <c r="F233" s="44" t="s">
        <v>285</v>
      </c>
      <c r="I233" s="60"/>
      <c r="J233" s="49">
        <v>1</v>
      </c>
      <c r="K233" s="45">
        <v>0.4</v>
      </c>
    </row>
    <row r="234" spans="1:11" ht="16.5" customHeight="1" x14ac:dyDescent="0.3">
      <c r="A234" s="48">
        <v>46036</v>
      </c>
      <c r="B234" s="42" t="s">
        <v>34</v>
      </c>
      <c r="D234" s="42" t="s">
        <v>35</v>
      </c>
      <c r="E234" s="42" t="s">
        <v>209</v>
      </c>
      <c r="F234" s="44" t="s">
        <v>286</v>
      </c>
      <c r="I234" s="60"/>
      <c r="J234" s="49">
        <v>1</v>
      </c>
      <c r="K234" s="45">
        <v>0.2</v>
      </c>
    </row>
    <row r="235" spans="1:11" ht="16.5" customHeight="1" x14ac:dyDescent="0.3">
      <c r="A235" s="48">
        <v>46036</v>
      </c>
      <c r="B235" s="42" t="s">
        <v>34</v>
      </c>
      <c r="D235" s="42" t="s">
        <v>35</v>
      </c>
      <c r="E235" s="42" t="s">
        <v>209</v>
      </c>
      <c r="F235" s="44" t="s">
        <v>287</v>
      </c>
      <c r="I235" s="60"/>
      <c r="J235" s="49">
        <v>1</v>
      </c>
      <c r="K235" s="45">
        <v>0.1</v>
      </c>
    </row>
    <row r="236" spans="1:11" ht="16.5" customHeight="1" x14ac:dyDescent="0.3">
      <c r="A236" s="48">
        <v>46036</v>
      </c>
      <c r="B236" s="42" t="s">
        <v>34</v>
      </c>
      <c r="D236" s="42" t="s">
        <v>35</v>
      </c>
      <c r="E236" s="42" t="s">
        <v>209</v>
      </c>
      <c r="F236" s="44" t="s">
        <v>288</v>
      </c>
      <c r="I236" s="60"/>
      <c r="J236" s="49">
        <v>1</v>
      </c>
      <c r="K236" s="45">
        <v>0.2</v>
      </c>
    </row>
    <row r="237" spans="1:11" ht="16.5" customHeight="1" x14ac:dyDescent="0.3">
      <c r="A237" s="48">
        <v>46036</v>
      </c>
      <c r="B237" s="42" t="s">
        <v>34</v>
      </c>
      <c r="D237" s="42" t="s">
        <v>35</v>
      </c>
      <c r="E237" s="42" t="s">
        <v>209</v>
      </c>
      <c r="F237" s="44" t="s">
        <v>289</v>
      </c>
      <c r="I237" s="60"/>
      <c r="J237" s="49">
        <v>1</v>
      </c>
      <c r="K237" s="45">
        <v>2.4</v>
      </c>
    </row>
    <row r="238" spans="1:11" ht="16.5" customHeight="1" x14ac:dyDescent="0.3">
      <c r="A238" s="48">
        <v>46036</v>
      </c>
      <c r="B238" s="42" t="s">
        <v>34</v>
      </c>
      <c r="D238" s="42" t="s">
        <v>35</v>
      </c>
      <c r="E238" s="42" t="s">
        <v>209</v>
      </c>
      <c r="F238" s="44" t="s">
        <v>290</v>
      </c>
      <c r="I238" s="60"/>
      <c r="J238" s="49">
        <v>1</v>
      </c>
      <c r="K238" s="45">
        <v>0.6</v>
      </c>
    </row>
    <row r="239" spans="1:11" ht="16.5" customHeight="1" x14ac:dyDescent="0.3">
      <c r="A239" s="48">
        <v>46036</v>
      </c>
      <c r="B239" s="42" t="s">
        <v>34</v>
      </c>
      <c r="D239" s="42" t="s">
        <v>35</v>
      </c>
      <c r="E239" s="42" t="s">
        <v>209</v>
      </c>
      <c r="F239" s="44" t="s">
        <v>291</v>
      </c>
      <c r="I239" s="60"/>
      <c r="J239" s="49">
        <v>1</v>
      </c>
      <c r="K239" s="45">
        <v>0.3</v>
      </c>
    </row>
    <row r="240" spans="1:11" ht="16.5" customHeight="1" x14ac:dyDescent="0.3">
      <c r="A240" s="48">
        <v>46036</v>
      </c>
      <c r="B240" s="42" t="s">
        <v>34</v>
      </c>
      <c r="D240" s="42" t="s">
        <v>35</v>
      </c>
      <c r="E240" s="42" t="s">
        <v>209</v>
      </c>
      <c r="F240" s="44" t="s">
        <v>292</v>
      </c>
      <c r="I240" s="60"/>
      <c r="J240" s="49">
        <v>1</v>
      </c>
      <c r="K240" s="45">
        <v>0.6</v>
      </c>
    </row>
    <row r="241" spans="1:11" ht="16.5" customHeight="1" x14ac:dyDescent="0.3">
      <c r="A241" s="48">
        <v>46036</v>
      </c>
      <c r="B241" s="42" t="s">
        <v>34</v>
      </c>
      <c r="D241" s="42" t="s">
        <v>35</v>
      </c>
      <c r="E241" s="42" t="s">
        <v>209</v>
      </c>
      <c r="F241" s="44" t="s">
        <v>293</v>
      </c>
      <c r="I241" s="60"/>
      <c r="J241" s="49">
        <v>1</v>
      </c>
      <c r="K241" s="45">
        <v>1</v>
      </c>
    </row>
    <row r="242" spans="1:11" ht="16.5" customHeight="1" x14ac:dyDescent="0.3">
      <c r="A242" s="48">
        <v>46036</v>
      </c>
      <c r="B242" s="42" t="s">
        <v>34</v>
      </c>
      <c r="D242" s="42" t="s">
        <v>35</v>
      </c>
      <c r="E242" s="42" t="s">
        <v>209</v>
      </c>
      <c r="F242" s="44" t="s">
        <v>294</v>
      </c>
      <c r="I242" s="60"/>
      <c r="J242" s="49">
        <v>1</v>
      </c>
      <c r="K242" s="45">
        <v>1.9</v>
      </c>
    </row>
    <row r="243" spans="1:11" ht="16.5" customHeight="1" x14ac:dyDescent="0.3">
      <c r="A243" s="48">
        <v>46036</v>
      </c>
      <c r="B243" s="42" t="s">
        <v>34</v>
      </c>
      <c r="D243" s="42" t="s">
        <v>35</v>
      </c>
      <c r="E243" s="42" t="s">
        <v>209</v>
      </c>
      <c r="F243" s="44" t="s">
        <v>295</v>
      </c>
      <c r="I243" s="60"/>
      <c r="J243" s="49">
        <v>1</v>
      </c>
      <c r="K243" s="45">
        <v>0.5</v>
      </c>
    </row>
    <row r="244" spans="1:11" ht="16.5" customHeight="1" x14ac:dyDescent="0.3">
      <c r="A244" s="48">
        <v>46036</v>
      </c>
      <c r="B244" s="42" t="s">
        <v>34</v>
      </c>
      <c r="D244" s="42" t="s">
        <v>35</v>
      </c>
      <c r="E244" s="42" t="s">
        <v>209</v>
      </c>
      <c r="F244" s="44" t="s">
        <v>296</v>
      </c>
      <c r="I244" s="60"/>
      <c r="J244" s="49">
        <v>1</v>
      </c>
      <c r="K244" s="45">
        <v>1.5</v>
      </c>
    </row>
    <row r="245" spans="1:11" ht="16.5" customHeight="1" x14ac:dyDescent="0.3">
      <c r="A245" s="48">
        <v>46036</v>
      </c>
      <c r="B245" s="42" t="s">
        <v>34</v>
      </c>
      <c r="D245" s="42" t="s">
        <v>35</v>
      </c>
      <c r="E245" s="42" t="s">
        <v>209</v>
      </c>
      <c r="F245" s="44" t="s">
        <v>297</v>
      </c>
      <c r="I245" s="60"/>
      <c r="J245" s="49">
        <v>1</v>
      </c>
      <c r="K245" s="45">
        <v>5.0999999999999996</v>
      </c>
    </row>
    <row r="246" spans="1:11" ht="16.5" customHeight="1" x14ac:dyDescent="0.3">
      <c r="A246" s="48">
        <v>46036</v>
      </c>
      <c r="B246" s="42" t="s">
        <v>34</v>
      </c>
      <c r="D246" s="42" t="s">
        <v>35</v>
      </c>
      <c r="E246" s="42" t="s">
        <v>209</v>
      </c>
      <c r="F246" s="44" t="s">
        <v>298</v>
      </c>
      <c r="I246" s="60"/>
      <c r="J246" s="49">
        <v>1</v>
      </c>
      <c r="K246" s="45">
        <v>0.3</v>
      </c>
    </row>
    <row r="247" spans="1:11" ht="16.5" customHeight="1" x14ac:dyDescent="0.3">
      <c r="A247" s="48">
        <v>46036</v>
      </c>
      <c r="B247" s="42" t="s">
        <v>34</v>
      </c>
      <c r="D247" s="42" t="s">
        <v>35</v>
      </c>
      <c r="E247" s="42" t="s">
        <v>209</v>
      </c>
      <c r="F247" s="44" t="s">
        <v>299</v>
      </c>
      <c r="I247" s="60"/>
      <c r="J247" s="49">
        <v>1</v>
      </c>
      <c r="K247" s="45">
        <v>1</v>
      </c>
    </row>
    <row r="248" spans="1:11" ht="16.5" customHeight="1" x14ac:dyDescent="0.3">
      <c r="A248" s="48">
        <v>46036</v>
      </c>
      <c r="B248" s="42" t="s">
        <v>34</v>
      </c>
      <c r="D248" s="42" t="s">
        <v>35</v>
      </c>
      <c r="E248" s="42" t="s">
        <v>209</v>
      </c>
      <c r="F248" s="44" t="s">
        <v>300</v>
      </c>
      <c r="I248" s="60"/>
      <c r="J248" s="49">
        <v>1</v>
      </c>
      <c r="K248" s="45">
        <v>0.1</v>
      </c>
    </row>
    <row r="249" spans="1:11" ht="16.5" customHeight="1" x14ac:dyDescent="0.3">
      <c r="A249" s="48">
        <v>46036</v>
      </c>
      <c r="B249" s="42" t="s">
        <v>34</v>
      </c>
      <c r="D249" s="42" t="s">
        <v>35</v>
      </c>
      <c r="E249" s="42" t="s">
        <v>209</v>
      </c>
      <c r="F249" s="44" t="s">
        <v>301</v>
      </c>
      <c r="I249" s="60"/>
      <c r="J249" s="49">
        <v>1</v>
      </c>
      <c r="K249" s="45">
        <v>1</v>
      </c>
    </row>
    <row r="250" spans="1:11" ht="16.5" customHeight="1" x14ac:dyDescent="0.3">
      <c r="A250" s="48">
        <v>46036</v>
      </c>
      <c r="B250" s="42" t="s">
        <v>34</v>
      </c>
      <c r="D250" s="42" t="s">
        <v>35</v>
      </c>
      <c r="E250" s="42" t="s">
        <v>209</v>
      </c>
      <c r="F250" s="44" t="s">
        <v>302</v>
      </c>
      <c r="I250" s="60"/>
      <c r="J250" s="49">
        <v>1</v>
      </c>
      <c r="K250" s="45">
        <v>1.6</v>
      </c>
    </row>
    <row r="251" spans="1:11" ht="16.5" customHeight="1" x14ac:dyDescent="0.3">
      <c r="A251" s="48">
        <v>46036</v>
      </c>
      <c r="B251" s="42" t="s">
        <v>34</v>
      </c>
      <c r="D251" s="42" t="s">
        <v>35</v>
      </c>
      <c r="E251" s="42" t="s">
        <v>209</v>
      </c>
      <c r="F251" s="44" t="s">
        <v>303</v>
      </c>
      <c r="I251" s="60"/>
      <c r="J251" s="49">
        <v>1</v>
      </c>
      <c r="K251" s="45">
        <v>1.2</v>
      </c>
    </row>
    <row r="252" spans="1:11" ht="16.5" customHeight="1" x14ac:dyDescent="0.3">
      <c r="A252" s="48">
        <v>46036</v>
      </c>
      <c r="B252" s="42" t="s">
        <v>34</v>
      </c>
      <c r="D252" s="42" t="s">
        <v>35</v>
      </c>
      <c r="E252" s="42" t="s">
        <v>209</v>
      </c>
      <c r="F252" s="44" t="s">
        <v>304</v>
      </c>
      <c r="I252" s="60"/>
      <c r="J252" s="49">
        <v>1</v>
      </c>
      <c r="K252" s="45">
        <v>0.3</v>
      </c>
    </row>
    <row r="253" spans="1:11" ht="16.5" customHeight="1" x14ac:dyDescent="0.3">
      <c r="A253" s="48">
        <v>46036</v>
      </c>
      <c r="B253" s="42" t="s">
        <v>34</v>
      </c>
      <c r="D253" s="42" t="s">
        <v>35</v>
      </c>
      <c r="E253" s="42" t="s">
        <v>209</v>
      </c>
      <c r="F253" s="44" t="s">
        <v>305</v>
      </c>
      <c r="I253" s="60"/>
      <c r="J253" s="49">
        <v>1</v>
      </c>
      <c r="K253" s="45">
        <v>1.6</v>
      </c>
    </row>
    <row r="254" spans="1:11" ht="16.5" customHeight="1" x14ac:dyDescent="0.3">
      <c r="A254" s="48">
        <v>46036</v>
      </c>
      <c r="B254" s="42" t="s">
        <v>34</v>
      </c>
      <c r="D254" s="42" t="s">
        <v>35</v>
      </c>
      <c r="E254" s="42" t="s">
        <v>209</v>
      </c>
      <c r="F254" s="44" t="s">
        <v>306</v>
      </c>
      <c r="I254" s="60"/>
      <c r="J254" s="49">
        <v>1</v>
      </c>
      <c r="K254" s="45">
        <v>0.5</v>
      </c>
    </row>
    <row r="255" spans="1:11" ht="16.5" customHeight="1" x14ac:dyDescent="0.3">
      <c r="A255" s="48">
        <v>46036</v>
      </c>
      <c r="B255" s="42" t="s">
        <v>34</v>
      </c>
      <c r="D255" s="42" t="s">
        <v>35</v>
      </c>
      <c r="E255" s="42" t="s">
        <v>209</v>
      </c>
      <c r="F255" s="44" t="s">
        <v>307</v>
      </c>
      <c r="I255" s="60"/>
      <c r="J255" s="49">
        <v>1</v>
      </c>
      <c r="K255" s="45">
        <v>0.4</v>
      </c>
    </row>
    <row r="256" spans="1:11" ht="16.5" customHeight="1" x14ac:dyDescent="0.3">
      <c r="A256" s="48">
        <v>46036</v>
      </c>
      <c r="B256" s="42" t="s">
        <v>34</v>
      </c>
      <c r="D256" s="42" t="s">
        <v>35</v>
      </c>
      <c r="E256" s="42" t="s">
        <v>209</v>
      </c>
      <c r="F256" s="44" t="s">
        <v>308</v>
      </c>
      <c r="I256" s="60"/>
      <c r="J256" s="49">
        <v>1</v>
      </c>
      <c r="K256" s="45">
        <v>1</v>
      </c>
    </row>
    <row r="257" spans="1:14" ht="16.5" customHeight="1" x14ac:dyDescent="0.3">
      <c r="A257" s="48">
        <v>46036</v>
      </c>
      <c r="B257" s="42" t="s">
        <v>34</v>
      </c>
      <c r="D257" s="42" t="s">
        <v>35</v>
      </c>
      <c r="E257" s="42" t="s">
        <v>209</v>
      </c>
      <c r="F257" s="44" t="s">
        <v>309</v>
      </c>
      <c r="I257" s="60"/>
      <c r="J257" s="49">
        <v>1</v>
      </c>
      <c r="K257" s="45">
        <v>0.5</v>
      </c>
      <c r="M257" s="58"/>
      <c r="N257" s="58"/>
    </row>
    <row r="258" spans="1:14" ht="16.5" customHeight="1" x14ac:dyDescent="0.3">
      <c r="A258" s="48">
        <v>46036</v>
      </c>
      <c r="B258" s="42" t="s">
        <v>34</v>
      </c>
      <c r="D258" s="42" t="s">
        <v>35</v>
      </c>
      <c r="E258" s="42" t="s">
        <v>209</v>
      </c>
      <c r="F258" s="44" t="s">
        <v>310</v>
      </c>
      <c r="I258" s="60"/>
      <c r="J258" s="49">
        <v>1</v>
      </c>
      <c r="K258" s="45">
        <v>0.4</v>
      </c>
      <c r="M258" s="58"/>
      <c r="N258" s="58"/>
    </row>
    <row r="259" spans="1:14" ht="16.5" customHeight="1" x14ac:dyDescent="0.3">
      <c r="A259" s="48">
        <v>46036</v>
      </c>
      <c r="B259" s="42" t="s">
        <v>34</v>
      </c>
      <c r="D259" s="42" t="s">
        <v>35</v>
      </c>
      <c r="E259" s="42" t="s">
        <v>209</v>
      </c>
      <c r="F259" s="44" t="s">
        <v>311</v>
      </c>
      <c r="I259" s="60"/>
      <c r="J259" s="49">
        <v>1</v>
      </c>
      <c r="K259" s="45">
        <v>0.4</v>
      </c>
      <c r="M259" s="58"/>
      <c r="N259" s="58"/>
    </row>
    <row r="260" spans="1:14" ht="16.5" customHeight="1" x14ac:dyDescent="0.3">
      <c r="A260" s="48">
        <v>46036</v>
      </c>
      <c r="B260" s="42" t="s">
        <v>34</v>
      </c>
      <c r="D260" s="42" t="s">
        <v>35</v>
      </c>
      <c r="E260" s="42" t="s">
        <v>209</v>
      </c>
      <c r="F260" s="44" t="s">
        <v>312</v>
      </c>
      <c r="I260" s="60"/>
      <c r="J260" s="49">
        <v>1</v>
      </c>
      <c r="K260" s="45">
        <v>0.4</v>
      </c>
      <c r="M260" s="58"/>
      <c r="N260" s="58"/>
    </row>
    <row r="261" spans="1:14" ht="16.5" customHeight="1" x14ac:dyDescent="0.3">
      <c r="A261" s="48">
        <v>46036</v>
      </c>
      <c r="B261" s="42" t="s">
        <v>34</v>
      </c>
      <c r="D261" s="42" t="s">
        <v>35</v>
      </c>
      <c r="E261" s="42" t="s">
        <v>209</v>
      </c>
      <c r="F261" s="44" t="s">
        <v>313</v>
      </c>
      <c r="I261" s="60"/>
      <c r="J261" s="49">
        <v>1</v>
      </c>
      <c r="K261" s="45">
        <v>0.2</v>
      </c>
      <c r="M261" s="58"/>
      <c r="N261" s="58"/>
    </row>
    <row r="262" spans="1:14" ht="16.5" customHeight="1" x14ac:dyDescent="0.3">
      <c r="A262" s="48">
        <v>46036</v>
      </c>
      <c r="B262" s="42" t="s">
        <v>34</v>
      </c>
      <c r="D262" s="42" t="s">
        <v>35</v>
      </c>
      <c r="E262" s="42" t="s">
        <v>209</v>
      </c>
      <c r="F262" s="44" t="s">
        <v>314</v>
      </c>
      <c r="I262" s="60"/>
      <c r="J262" s="49">
        <v>1</v>
      </c>
      <c r="K262" s="45">
        <v>0.7</v>
      </c>
    </row>
    <row r="263" spans="1:14" ht="16.5" customHeight="1" x14ac:dyDescent="0.3">
      <c r="A263" s="48">
        <v>46036</v>
      </c>
      <c r="B263" s="42" t="s">
        <v>34</v>
      </c>
      <c r="D263" s="42" t="s">
        <v>35</v>
      </c>
      <c r="E263" s="42" t="s">
        <v>209</v>
      </c>
      <c r="F263" s="44" t="s">
        <v>315</v>
      </c>
      <c r="I263" s="60"/>
      <c r="J263" s="49">
        <v>1</v>
      </c>
      <c r="K263" s="45">
        <v>1.1000000000000001</v>
      </c>
    </row>
    <row r="264" spans="1:14" ht="16.5" customHeight="1" x14ac:dyDescent="0.3">
      <c r="A264" s="48">
        <v>46036</v>
      </c>
      <c r="B264" s="42" t="s">
        <v>34</v>
      </c>
      <c r="D264" s="42" t="s">
        <v>35</v>
      </c>
      <c r="E264" s="42" t="s">
        <v>209</v>
      </c>
      <c r="F264" s="44" t="s">
        <v>316</v>
      </c>
      <c r="I264" s="60"/>
      <c r="J264" s="49">
        <v>1</v>
      </c>
      <c r="K264" s="45">
        <v>2</v>
      </c>
    </row>
    <row r="265" spans="1:14" ht="16.5" customHeight="1" x14ac:dyDescent="0.3">
      <c r="A265" s="48">
        <v>46036</v>
      </c>
      <c r="B265" s="42" t="s">
        <v>34</v>
      </c>
      <c r="D265" s="42" t="s">
        <v>35</v>
      </c>
      <c r="E265" s="42" t="s">
        <v>209</v>
      </c>
      <c r="F265" s="44" t="s">
        <v>317</v>
      </c>
      <c r="I265" s="60"/>
      <c r="J265" s="49">
        <v>1</v>
      </c>
      <c r="K265" s="45">
        <v>6</v>
      </c>
    </row>
    <row r="266" spans="1:14" ht="16.5" customHeight="1" x14ac:dyDescent="0.3">
      <c r="A266" s="48">
        <v>46036</v>
      </c>
      <c r="B266" s="42" t="s">
        <v>34</v>
      </c>
      <c r="D266" s="42" t="s">
        <v>35</v>
      </c>
      <c r="E266" s="42" t="s">
        <v>209</v>
      </c>
      <c r="F266" s="44" t="s">
        <v>318</v>
      </c>
      <c r="I266" s="60"/>
      <c r="J266" s="49">
        <v>1</v>
      </c>
      <c r="K266" s="45">
        <v>2.4</v>
      </c>
    </row>
    <row r="267" spans="1:14" ht="16.5" customHeight="1" x14ac:dyDescent="0.3">
      <c r="A267" s="48">
        <v>46036</v>
      </c>
      <c r="B267" s="42" t="s">
        <v>34</v>
      </c>
      <c r="D267" s="42" t="s">
        <v>35</v>
      </c>
      <c r="E267" s="42" t="s">
        <v>209</v>
      </c>
      <c r="F267" s="44" t="s">
        <v>319</v>
      </c>
      <c r="I267" s="60"/>
      <c r="J267" s="49">
        <v>1</v>
      </c>
      <c r="K267" s="45">
        <v>1</v>
      </c>
    </row>
    <row r="268" spans="1:14" ht="16.5" customHeight="1" x14ac:dyDescent="0.3">
      <c r="A268" s="48">
        <v>46036</v>
      </c>
      <c r="B268" s="42" t="s">
        <v>34</v>
      </c>
      <c r="D268" s="42" t="s">
        <v>35</v>
      </c>
      <c r="E268" s="42" t="s">
        <v>209</v>
      </c>
      <c r="F268" s="44" t="s">
        <v>320</v>
      </c>
      <c r="I268" s="60"/>
      <c r="J268" s="49">
        <v>1</v>
      </c>
      <c r="K268" s="45">
        <v>0.5</v>
      </c>
    </row>
    <row r="269" spans="1:14" ht="16.5" customHeight="1" x14ac:dyDescent="0.3">
      <c r="A269" s="48">
        <v>46036</v>
      </c>
      <c r="B269" s="42" t="s">
        <v>34</v>
      </c>
      <c r="D269" s="42" t="s">
        <v>35</v>
      </c>
      <c r="E269" s="42" t="s">
        <v>209</v>
      </c>
      <c r="F269" s="44" t="s">
        <v>321</v>
      </c>
      <c r="I269" s="60"/>
      <c r="J269" s="49">
        <v>1</v>
      </c>
      <c r="K269" s="45">
        <v>2.2999999999999998</v>
      </c>
    </row>
    <row r="270" spans="1:14" ht="16.5" customHeight="1" x14ac:dyDescent="0.3">
      <c r="A270" s="48">
        <v>46036</v>
      </c>
      <c r="B270" s="42" t="s">
        <v>34</v>
      </c>
      <c r="D270" s="42" t="s">
        <v>35</v>
      </c>
      <c r="E270" s="42" t="s">
        <v>209</v>
      </c>
      <c r="F270" s="44" t="s">
        <v>322</v>
      </c>
      <c r="I270" s="60"/>
      <c r="J270" s="49">
        <v>1</v>
      </c>
      <c r="K270" s="45">
        <v>2.4</v>
      </c>
    </row>
    <row r="271" spans="1:14" ht="16.5" customHeight="1" x14ac:dyDescent="0.3">
      <c r="A271" s="48">
        <v>46036</v>
      </c>
      <c r="B271" s="42" t="s">
        <v>34</v>
      </c>
      <c r="D271" s="42" t="s">
        <v>35</v>
      </c>
      <c r="E271" s="42" t="s">
        <v>209</v>
      </c>
      <c r="F271" s="44" t="s">
        <v>323</v>
      </c>
      <c r="I271" s="60"/>
      <c r="J271" s="49">
        <v>1</v>
      </c>
      <c r="K271" s="45">
        <v>0.5</v>
      </c>
    </row>
    <row r="272" spans="1:14" ht="16.5" customHeight="1" x14ac:dyDescent="0.3">
      <c r="A272" s="48">
        <v>46036</v>
      </c>
      <c r="B272" s="42" t="s">
        <v>34</v>
      </c>
      <c r="D272" s="42" t="s">
        <v>35</v>
      </c>
      <c r="E272" s="42" t="s">
        <v>209</v>
      </c>
      <c r="F272" s="44" t="s">
        <v>324</v>
      </c>
      <c r="I272" s="60"/>
      <c r="J272" s="49">
        <v>1</v>
      </c>
      <c r="K272" s="46">
        <v>1.4</v>
      </c>
      <c r="L272" s="46"/>
      <c r="M272" s="58"/>
      <c r="N272" s="58"/>
    </row>
    <row r="273" spans="1:14" ht="16.5" customHeight="1" x14ac:dyDescent="0.3">
      <c r="A273" s="48">
        <v>46036</v>
      </c>
      <c r="B273" s="42" t="s">
        <v>34</v>
      </c>
      <c r="D273" s="42" t="s">
        <v>35</v>
      </c>
      <c r="E273" s="42" t="s">
        <v>209</v>
      </c>
      <c r="F273" s="44" t="s">
        <v>325</v>
      </c>
      <c r="I273" s="60"/>
      <c r="J273" s="49">
        <v>1</v>
      </c>
      <c r="K273" s="46">
        <v>1.9</v>
      </c>
      <c r="L273" s="46"/>
      <c r="M273" s="58"/>
      <c r="N273" s="58"/>
    </row>
    <row r="274" spans="1:14" ht="16.5" customHeight="1" x14ac:dyDescent="0.3">
      <c r="A274" s="48">
        <v>46036</v>
      </c>
      <c r="B274" s="42" t="s">
        <v>34</v>
      </c>
      <c r="D274" s="42" t="s">
        <v>35</v>
      </c>
      <c r="E274" s="42" t="s">
        <v>209</v>
      </c>
      <c r="F274" s="44" t="s">
        <v>326</v>
      </c>
      <c r="I274" s="60"/>
      <c r="J274" s="49">
        <v>1</v>
      </c>
      <c r="K274" s="45">
        <v>1.8</v>
      </c>
    </row>
    <row r="275" spans="1:14" ht="16.5" customHeight="1" x14ac:dyDescent="0.3">
      <c r="A275" s="48">
        <v>46036</v>
      </c>
      <c r="B275" s="42" t="s">
        <v>34</v>
      </c>
      <c r="D275" s="42" t="s">
        <v>35</v>
      </c>
      <c r="E275" s="42" t="s">
        <v>209</v>
      </c>
      <c r="F275" s="44" t="s">
        <v>327</v>
      </c>
      <c r="I275" s="60"/>
      <c r="J275" s="49">
        <v>1</v>
      </c>
      <c r="K275" s="45">
        <v>0.5</v>
      </c>
    </row>
    <row r="276" spans="1:14" ht="16.5" customHeight="1" x14ac:dyDescent="0.3">
      <c r="A276" s="48">
        <v>46036</v>
      </c>
      <c r="B276" s="42" t="s">
        <v>34</v>
      </c>
      <c r="D276" s="42" t="s">
        <v>35</v>
      </c>
      <c r="E276" s="42" t="s">
        <v>209</v>
      </c>
      <c r="F276" s="44" t="s">
        <v>328</v>
      </c>
      <c r="I276" s="60"/>
      <c r="J276" s="49">
        <v>1</v>
      </c>
      <c r="K276" s="45">
        <v>1.4</v>
      </c>
    </row>
    <row r="277" spans="1:14" ht="16.5" customHeight="1" x14ac:dyDescent="0.3">
      <c r="A277" s="48">
        <v>46036</v>
      </c>
      <c r="B277" s="42" t="s">
        <v>34</v>
      </c>
      <c r="D277" s="42" t="s">
        <v>35</v>
      </c>
      <c r="E277" s="42" t="s">
        <v>209</v>
      </c>
      <c r="F277" s="44" t="s">
        <v>329</v>
      </c>
      <c r="I277" s="60"/>
      <c r="J277" s="49">
        <v>1</v>
      </c>
      <c r="K277" s="45">
        <v>6.7</v>
      </c>
    </row>
    <row r="278" spans="1:14" ht="16.5" customHeight="1" x14ac:dyDescent="0.3">
      <c r="A278" s="48">
        <v>46036</v>
      </c>
      <c r="B278" s="42" t="s">
        <v>34</v>
      </c>
      <c r="D278" s="42" t="s">
        <v>35</v>
      </c>
      <c r="E278" s="42" t="s">
        <v>209</v>
      </c>
      <c r="F278" s="44" t="s">
        <v>330</v>
      </c>
      <c r="I278" s="60"/>
      <c r="J278" s="49">
        <v>1</v>
      </c>
      <c r="K278" s="45">
        <v>1.5</v>
      </c>
    </row>
    <row r="279" spans="1:14" ht="16.5" customHeight="1" x14ac:dyDescent="0.3">
      <c r="A279" s="48">
        <v>46036</v>
      </c>
      <c r="B279" s="42" t="s">
        <v>34</v>
      </c>
      <c r="D279" s="42" t="s">
        <v>35</v>
      </c>
      <c r="E279" s="42" t="s">
        <v>209</v>
      </c>
      <c r="F279" s="44" t="s">
        <v>331</v>
      </c>
      <c r="I279" s="60"/>
      <c r="J279" s="49">
        <v>1</v>
      </c>
      <c r="K279" s="45">
        <v>1.5</v>
      </c>
    </row>
    <row r="280" spans="1:14" ht="16.5" customHeight="1" x14ac:dyDescent="0.3">
      <c r="A280" s="48">
        <v>46036</v>
      </c>
      <c r="B280" s="42" t="s">
        <v>34</v>
      </c>
      <c r="D280" s="42" t="s">
        <v>35</v>
      </c>
      <c r="E280" s="42" t="s">
        <v>209</v>
      </c>
      <c r="F280" s="44" t="s">
        <v>332</v>
      </c>
      <c r="I280" s="60"/>
      <c r="J280" s="49">
        <v>1</v>
      </c>
      <c r="K280" s="45">
        <v>0.8</v>
      </c>
    </row>
    <row r="281" spans="1:14" ht="16.5" customHeight="1" x14ac:dyDescent="0.3">
      <c r="A281" s="48">
        <v>46036</v>
      </c>
      <c r="B281" s="42" t="s">
        <v>34</v>
      </c>
      <c r="D281" s="42" t="s">
        <v>35</v>
      </c>
      <c r="E281" s="42" t="s">
        <v>209</v>
      </c>
      <c r="F281" s="44" t="s">
        <v>333</v>
      </c>
      <c r="I281" s="60"/>
      <c r="J281" s="49">
        <v>1</v>
      </c>
      <c r="K281" s="45">
        <v>0.7</v>
      </c>
    </row>
    <row r="282" spans="1:14" ht="16.5" customHeight="1" x14ac:dyDescent="0.3">
      <c r="A282" s="48">
        <v>46036</v>
      </c>
      <c r="B282" s="42" t="s">
        <v>34</v>
      </c>
      <c r="D282" s="42" t="s">
        <v>35</v>
      </c>
      <c r="E282" s="42" t="s">
        <v>209</v>
      </c>
      <c r="F282" s="44" t="s">
        <v>334</v>
      </c>
      <c r="I282" s="60"/>
      <c r="J282" s="49">
        <v>1</v>
      </c>
      <c r="K282" s="45">
        <v>0.1</v>
      </c>
    </row>
    <row r="283" spans="1:14" ht="16.5" customHeight="1" x14ac:dyDescent="0.3">
      <c r="A283" s="48">
        <v>46036</v>
      </c>
      <c r="B283" s="42" t="s">
        <v>34</v>
      </c>
      <c r="D283" s="42" t="s">
        <v>35</v>
      </c>
      <c r="E283" s="42" t="s">
        <v>209</v>
      </c>
      <c r="F283" s="44" t="s">
        <v>335</v>
      </c>
      <c r="I283" s="60"/>
      <c r="J283" s="49">
        <v>1</v>
      </c>
      <c r="K283" s="45">
        <v>0.9</v>
      </c>
    </row>
    <row r="284" spans="1:14" ht="16.5" customHeight="1" x14ac:dyDescent="0.3">
      <c r="A284" s="48">
        <v>46036</v>
      </c>
      <c r="B284" s="42" t="s">
        <v>34</v>
      </c>
      <c r="D284" s="42" t="s">
        <v>35</v>
      </c>
      <c r="E284" s="42" t="s">
        <v>209</v>
      </c>
      <c r="F284" s="44" t="s">
        <v>336</v>
      </c>
      <c r="I284" s="60"/>
      <c r="J284" s="49">
        <v>1</v>
      </c>
      <c r="K284" s="45">
        <v>0.7</v>
      </c>
    </row>
    <row r="285" spans="1:14" ht="16.5" customHeight="1" x14ac:dyDescent="0.3">
      <c r="A285" s="48">
        <v>46036</v>
      </c>
      <c r="B285" s="42" t="s">
        <v>34</v>
      </c>
      <c r="D285" s="42" t="s">
        <v>35</v>
      </c>
      <c r="E285" s="42" t="s">
        <v>209</v>
      </c>
      <c r="F285" s="44" t="s">
        <v>337</v>
      </c>
      <c r="I285" s="60"/>
      <c r="J285" s="49">
        <v>1</v>
      </c>
      <c r="K285" s="45">
        <v>1.5</v>
      </c>
    </row>
    <row r="286" spans="1:14" ht="16.5" customHeight="1" x14ac:dyDescent="0.3">
      <c r="A286" s="48">
        <v>46036</v>
      </c>
      <c r="B286" s="42" t="s">
        <v>34</v>
      </c>
      <c r="D286" s="42" t="s">
        <v>35</v>
      </c>
      <c r="E286" s="42" t="s">
        <v>209</v>
      </c>
      <c r="F286" s="44" t="s">
        <v>338</v>
      </c>
      <c r="I286" s="60"/>
      <c r="J286" s="49">
        <v>1</v>
      </c>
      <c r="K286" s="45">
        <v>1.2</v>
      </c>
    </row>
    <row r="287" spans="1:14" ht="16.5" customHeight="1" x14ac:dyDescent="0.3">
      <c r="A287" s="48">
        <v>46036</v>
      </c>
      <c r="B287" s="42" t="s">
        <v>34</v>
      </c>
      <c r="D287" s="42" t="s">
        <v>35</v>
      </c>
      <c r="E287" s="42" t="s">
        <v>209</v>
      </c>
      <c r="F287" s="44" t="s">
        <v>339</v>
      </c>
      <c r="I287" s="60"/>
      <c r="J287" s="49">
        <v>1</v>
      </c>
      <c r="K287" s="45">
        <v>1.6</v>
      </c>
    </row>
    <row r="288" spans="1:14" ht="16.5" customHeight="1" x14ac:dyDescent="0.3">
      <c r="A288" s="48">
        <v>46036</v>
      </c>
      <c r="B288" s="42" t="s">
        <v>34</v>
      </c>
      <c r="D288" s="42" t="s">
        <v>35</v>
      </c>
      <c r="E288" s="42" t="s">
        <v>209</v>
      </c>
      <c r="F288" s="44" t="s">
        <v>340</v>
      </c>
      <c r="G288" s="68"/>
      <c r="H288" s="68"/>
      <c r="I288" s="59"/>
      <c r="J288" s="49">
        <v>1</v>
      </c>
      <c r="K288" s="46">
        <v>1.1000000000000001</v>
      </c>
      <c r="L288" s="46"/>
      <c r="M288" s="61"/>
      <c r="N288" s="61"/>
    </row>
    <row r="289" spans="1:12" ht="16.5" customHeight="1" x14ac:dyDescent="0.3">
      <c r="A289" s="48">
        <v>46036</v>
      </c>
      <c r="B289" s="42" t="s">
        <v>34</v>
      </c>
      <c r="D289" s="42" t="s">
        <v>35</v>
      </c>
      <c r="E289" s="42" t="s">
        <v>209</v>
      </c>
      <c r="F289" s="44" t="s">
        <v>341</v>
      </c>
      <c r="I289" s="60"/>
      <c r="J289" s="49">
        <v>1</v>
      </c>
      <c r="K289" s="46">
        <v>0.1</v>
      </c>
      <c r="L289" s="46"/>
    </row>
    <row r="290" spans="1:12" ht="16.5" customHeight="1" x14ac:dyDescent="0.3">
      <c r="A290" s="48">
        <v>46036</v>
      </c>
      <c r="B290" s="42" t="s">
        <v>34</v>
      </c>
      <c r="D290" s="42" t="s">
        <v>35</v>
      </c>
      <c r="E290" s="42" t="s">
        <v>209</v>
      </c>
      <c r="F290" s="44" t="s">
        <v>342</v>
      </c>
      <c r="I290" s="60"/>
      <c r="J290" s="49">
        <v>1</v>
      </c>
      <c r="K290" s="46">
        <v>0.1</v>
      </c>
      <c r="L290" s="46"/>
    </row>
    <row r="291" spans="1:12" ht="16.5" customHeight="1" x14ac:dyDescent="0.3">
      <c r="A291" s="48">
        <v>46036</v>
      </c>
      <c r="B291" s="42" t="s">
        <v>34</v>
      </c>
      <c r="D291" s="42" t="s">
        <v>35</v>
      </c>
      <c r="E291" s="42" t="s">
        <v>209</v>
      </c>
      <c r="F291" s="44" t="s">
        <v>343</v>
      </c>
      <c r="I291" s="60"/>
      <c r="J291" s="49">
        <v>1</v>
      </c>
      <c r="K291" s="46">
        <v>1.5</v>
      </c>
      <c r="L291" s="46"/>
    </row>
    <row r="292" spans="1:12" ht="16.5" customHeight="1" x14ac:dyDescent="0.3">
      <c r="A292" s="48">
        <v>46036</v>
      </c>
      <c r="B292" s="42" t="s">
        <v>34</v>
      </c>
      <c r="D292" s="42" t="s">
        <v>35</v>
      </c>
      <c r="E292" s="42" t="s">
        <v>209</v>
      </c>
      <c r="F292" s="44" t="s">
        <v>344</v>
      </c>
      <c r="I292" s="60"/>
      <c r="J292" s="49">
        <v>1</v>
      </c>
      <c r="K292" s="46">
        <v>1</v>
      </c>
      <c r="L292" s="46"/>
    </row>
    <row r="293" spans="1:12" ht="16.5" customHeight="1" x14ac:dyDescent="0.3">
      <c r="A293" s="48">
        <v>46036</v>
      </c>
      <c r="B293" s="42" t="s">
        <v>34</v>
      </c>
      <c r="D293" s="42" t="s">
        <v>35</v>
      </c>
      <c r="E293" s="42" t="s">
        <v>209</v>
      </c>
      <c r="F293" s="44" t="s">
        <v>345</v>
      </c>
      <c r="I293" s="60"/>
      <c r="J293" s="49">
        <v>1</v>
      </c>
      <c r="K293" s="46">
        <v>4</v>
      </c>
      <c r="L293" s="46"/>
    </row>
    <row r="294" spans="1:12" ht="16.5" customHeight="1" x14ac:dyDescent="0.3">
      <c r="A294" s="48">
        <v>46036</v>
      </c>
      <c r="B294" s="42" t="s">
        <v>34</v>
      </c>
      <c r="D294" s="42" t="s">
        <v>35</v>
      </c>
      <c r="E294" s="42" t="s">
        <v>209</v>
      </c>
      <c r="F294" s="44" t="s">
        <v>346</v>
      </c>
      <c r="I294" s="60"/>
      <c r="J294" s="49">
        <v>1</v>
      </c>
      <c r="K294" s="45">
        <v>4</v>
      </c>
    </row>
    <row r="295" spans="1:12" ht="16.5" customHeight="1" x14ac:dyDescent="0.3">
      <c r="A295" s="48">
        <v>46036</v>
      </c>
      <c r="B295" s="42" t="s">
        <v>34</v>
      </c>
      <c r="D295" s="42" t="s">
        <v>35</v>
      </c>
      <c r="E295" s="42" t="s">
        <v>209</v>
      </c>
      <c r="F295" s="44" t="s">
        <v>347</v>
      </c>
      <c r="I295" s="60"/>
      <c r="J295" s="49">
        <v>1</v>
      </c>
      <c r="K295" s="45">
        <v>0.4</v>
      </c>
    </row>
    <row r="296" spans="1:12" ht="16.5" customHeight="1" x14ac:dyDescent="0.3">
      <c r="A296" s="48">
        <v>46036</v>
      </c>
      <c r="B296" s="42" t="s">
        <v>34</v>
      </c>
      <c r="D296" s="42" t="s">
        <v>35</v>
      </c>
      <c r="E296" s="42" t="s">
        <v>209</v>
      </c>
      <c r="F296" s="44" t="s">
        <v>348</v>
      </c>
      <c r="I296" s="60"/>
      <c r="J296" s="49">
        <v>1</v>
      </c>
      <c r="K296" s="45">
        <v>2.1</v>
      </c>
    </row>
    <row r="297" spans="1:12" ht="16.5" customHeight="1" x14ac:dyDescent="0.3">
      <c r="A297" s="48">
        <v>46036</v>
      </c>
      <c r="B297" s="42" t="s">
        <v>34</v>
      </c>
      <c r="D297" s="42" t="s">
        <v>35</v>
      </c>
      <c r="E297" s="42" t="s">
        <v>209</v>
      </c>
      <c r="F297" s="44" t="s">
        <v>349</v>
      </c>
      <c r="I297" s="60"/>
      <c r="J297" s="49">
        <v>1</v>
      </c>
      <c r="K297" s="45">
        <v>2.5</v>
      </c>
    </row>
    <row r="298" spans="1:12" ht="16.5" customHeight="1" x14ac:dyDescent="0.3">
      <c r="A298" s="48">
        <v>46036</v>
      </c>
      <c r="B298" s="42" t="s">
        <v>34</v>
      </c>
      <c r="D298" s="42" t="s">
        <v>35</v>
      </c>
      <c r="E298" s="42" t="s">
        <v>209</v>
      </c>
      <c r="F298" s="44" t="s">
        <v>350</v>
      </c>
      <c r="I298" s="60"/>
      <c r="J298" s="49">
        <v>1</v>
      </c>
      <c r="K298" s="45">
        <v>1.6</v>
      </c>
    </row>
    <row r="299" spans="1:12" ht="16.5" customHeight="1" x14ac:dyDescent="0.3">
      <c r="A299" s="48">
        <v>46036</v>
      </c>
      <c r="B299" s="42" t="s">
        <v>34</v>
      </c>
      <c r="D299" s="42" t="s">
        <v>35</v>
      </c>
      <c r="E299" s="42" t="s">
        <v>209</v>
      </c>
      <c r="F299" s="44" t="s">
        <v>351</v>
      </c>
      <c r="I299" s="60"/>
      <c r="J299" s="49">
        <v>1</v>
      </c>
      <c r="K299" s="45">
        <v>1.5</v>
      </c>
    </row>
    <row r="300" spans="1:12" ht="16.5" customHeight="1" x14ac:dyDescent="0.3">
      <c r="A300" s="48">
        <v>46036</v>
      </c>
      <c r="B300" s="42" t="s">
        <v>34</v>
      </c>
      <c r="D300" s="42" t="s">
        <v>35</v>
      </c>
      <c r="E300" s="42" t="s">
        <v>209</v>
      </c>
      <c r="F300" s="44" t="s">
        <v>352</v>
      </c>
      <c r="I300" s="60"/>
      <c r="J300" s="49">
        <v>1</v>
      </c>
      <c r="K300" s="45">
        <v>0.2</v>
      </c>
    </row>
    <row r="301" spans="1:12" ht="16.5" customHeight="1" x14ac:dyDescent="0.3">
      <c r="A301" s="48">
        <v>46036</v>
      </c>
      <c r="B301" s="42" t="s">
        <v>34</v>
      </c>
      <c r="D301" s="42" t="s">
        <v>35</v>
      </c>
      <c r="E301" s="42" t="s">
        <v>209</v>
      </c>
      <c r="F301" s="44" t="s">
        <v>353</v>
      </c>
      <c r="I301" s="60"/>
      <c r="J301" s="49">
        <v>1</v>
      </c>
      <c r="K301" s="45">
        <v>2</v>
      </c>
    </row>
    <row r="302" spans="1:12" ht="16.5" customHeight="1" x14ac:dyDescent="0.3">
      <c r="A302" s="48">
        <v>46036</v>
      </c>
      <c r="B302" s="42" t="s">
        <v>34</v>
      </c>
      <c r="D302" s="42" t="s">
        <v>35</v>
      </c>
      <c r="E302" s="42" t="s">
        <v>209</v>
      </c>
      <c r="F302" s="44" t="s">
        <v>354</v>
      </c>
      <c r="I302" s="60"/>
      <c r="J302" s="49">
        <v>1</v>
      </c>
      <c r="K302" s="45">
        <v>2</v>
      </c>
    </row>
    <row r="303" spans="1:12" ht="16.5" customHeight="1" x14ac:dyDescent="0.3">
      <c r="A303" s="48">
        <v>46036</v>
      </c>
      <c r="B303" s="42" t="s">
        <v>34</v>
      </c>
      <c r="D303" s="42" t="s">
        <v>35</v>
      </c>
      <c r="E303" s="42" t="s">
        <v>209</v>
      </c>
      <c r="F303" s="44" t="s">
        <v>355</v>
      </c>
      <c r="I303" s="60"/>
      <c r="J303" s="49">
        <v>1</v>
      </c>
      <c r="K303" s="45">
        <v>5.5</v>
      </c>
    </row>
    <row r="304" spans="1:12" ht="16.5" customHeight="1" x14ac:dyDescent="0.3">
      <c r="A304" s="48">
        <v>46036</v>
      </c>
      <c r="B304" s="42" t="s">
        <v>34</v>
      </c>
      <c r="D304" s="42" t="s">
        <v>35</v>
      </c>
      <c r="E304" s="42" t="s">
        <v>209</v>
      </c>
      <c r="F304" s="44" t="s">
        <v>356</v>
      </c>
      <c r="I304" s="60"/>
      <c r="J304" s="49">
        <v>1</v>
      </c>
      <c r="K304" s="45">
        <v>0.4</v>
      </c>
    </row>
    <row r="305" spans="1:11" ht="16.5" customHeight="1" x14ac:dyDescent="0.3">
      <c r="A305" s="48">
        <v>46036</v>
      </c>
      <c r="B305" s="42" t="s">
        <v>34</v>
      </c>
      <c r="D305" s="42" t="s">
        <v>35</v>
      </c>
      <c r="E305" s="42" t="s">
        <v>209</v>
      </c>
      <c r="F305" s="44" t="s">
        <v>357</v>
      </c>
      <c r="G305" s="68"/>
      <c r="H305" s="68"/>
      <c r="I305" s="59"/>
      <c r="J305" s="49">
        <v>1</v>
      </c>
      <c r="K305" s="45">
        <v>0.9</v>
      </c>
    </row>
    <row r="306" spans="1:11" ht="16.5" customHeight="1" x14ac:dyDescent="0.3">
      <c r="A306" s="48">
        <v>46036</v>
      </c>
      <c r="B306" s="42" t="s">
        <v>34</v>
      </c>
      <c r="D306" s="42" t="s">
        <v>35</v>
      </c>
      <c r="E306" s="42" t="s">
        <v>209</v>
      </c>
      <c r="F306" s="44" t="s">
        <v>358</v>
      </c>
      <c r="I306" s="60"/>
      <c r="J306" s="49">
        <v>1</v>
      </c>
      <c r="K306" s="45">
        <v>0.9</v>
      </c>
    </row>
    <row r="307" spans="1:11" ht="16.5" customHeight="1" x14ac:dyDescent="0.3">
      <c r="A307" s="48">
        <v>46036</v>
      </c>
      <c r="B307" s="42" t="s">
        <v>34</v>
      </c>
      <c r="D307" s="42" t="s">
        <v>35</v>
      </c>
      <c r="E307" s="42" t="s">
        <v>209</v>
      </c>
      <c r="F307" s="44" t="s">
        <v>359</v>
      </c>
      <c r="I307" s="60"/>
      <c r="J307" s="49">
        <v>1</v>
      </c>
      <c r="K307" s="45">
        <v>2.2000000000000002</v>
      </c>
    </row>
    <row r="308" spans="1:11" ht="16.5" customHeight="1" x14ac:dyDescent="0.3">
      <c r="A308" s="48">
        <v>46036</v>
      </c>
      <c r="B308" s="42" t="s">
        <v>34</v>
      </c>
      <c r="D308" s="42" t="s">
        <v>35</v>
      </c>
      <c r="E308" s="42" t="s">
        <v>209</v>
      </c>
      <c r="F308" s="44" t="s">
        <v>360</v>
      </c>
      <c r="I308" s="60"/>
      <c r="J308" s="49">
        <v>1</v>
      </c>
      <c r="K308" s="45">
        <v>1.5</v>
      </c>
    </row>
    <row r="309" spans="1:11" ht="16.5" customHeight="1" x14ac:dyDescent="0.3">
      <c r="A309" s="48">
        <v>46036</v>
      </c>
      <c r="B309" s="42" t="s">
        <v>34</v>
      </c>
      <c r="D309" s="42" t="s">
        <v>35</v>
      </c>
      <c r="E309" s="42" t="s">
        <v>209</v>
      </c>
      <c r="F309" s="44" t="s">
        <v>361</v>
      </c>
      <c r="I309" s="60"/>
      <c r="J309" s="49">
        <v>1</v>
      </c>
      <c r="K309" s="45">
        <v>0.1</v>
      </c>
    </row>
    <row r="310" spans="1:11" ht="16.5" customHeight="1" x14ac:dyDescent="0.3">
      <c r="A310" s="48">
        <v>46036</v>
      </c>
      <c r="B310" s="42" t="s">
        <v>34</v>
      </c>
      <c r="D310" s="42" t="s">
        <v>35</v>
      </c>
      <c r="E310" s="42" t="s">
        <v>209</v>
      </c>
      <c r="F310" s="44" t="s">
        <v>362</v>
      </c>
      <c r="I310" s="60"/>
      <c r="J310" s="49">
        <v>1</v>
      </c>
      <c r="K310" s="45">
        <v>0.4</v>
      </c>
    </row>
    <row r="311" spans="1:11" ht="16.5" customHeight="1" x14ac:dyDescent="0.3">
      <c r="A311" s="48">
        <v>46036</v>
      </c>
      <c r="B311" s="42" t="s">
        <v>34</v>
      </c>
      <c r="D311" s="42" t="s">
        <v>35</v>
      </c>
      <c r="E311" s="42" t="s">
        <v>209</v>
      </c>
      <c r="F311" s="44" t="s">
        <v>363</v>
      </c>
      <c r="I311" s="60"/>
      <c r="J311" s="49">
        <v>1</v>
      </c>
      <c r="K311" s="45">
        <v>0.5</v>
      </c>
    </row>
    <row r="312" spans="1:11" ht="16.5" customHeight="1" x14ac:dyDescent="0.3">
      <c r="A312" s="48">
        <v>46036</v>
      </c>
      <c r="B312" s="42" t="s">
        <v>34</v>
      </c>
      <c r="D312" s="42" t="s">
        <v>35</v>
      </c>
      <c r="E312" s="42" t="s">
        <v>209</v>
      </c>
      <c r="F312" s="44" t="s">
        <v>364</v>
      </c>
      <c r="I312" s="60"/>
      <c r="J312" s="49">
        <v>1</v>
      </c>
      <c r="K312" s="45">
        <v>0.4</v>
      </c>
    </row>
    <row r="313" spans="1:11" ht="16.5" customHeight="1" x14ac:dyDescent="0.3">
      <c r="A313" s="48">
        <v>46036</v>
      </c>
      <c r="B313" s="42" t="s">
        <v>34</v>
      </c>
      <c r="D313" s="42" t="s">
        <v>35</v>
      </c>
      <c r="E313" s="42" t="s">
        <v>209</v>
      </c>
      <c r="F313" s="44" t="s">
        <v>365</v>
      </c>
      <c r="I313" s="60"/>
      <c r="J313" s="49">
        <v>1</v>
      </c>
      <c r="K313" s="45">
        <v>0.1</v>
      </c>
    </row>
    <row r="314" spans="1:11" ht="16.5" customHeight="1" x14ac:dyDescent="0.3">
      <c r="A314" s="48">
        <v>46036</v>
      </c>
      <c r="B314" s="42" t="s">
        <v>34</v>
      </c>
      <c r="D314" s="42" t="s">
        <v>35</v>
      </c>
      <c r="E314" s="42" t="s">
        <v>209</v>
      </c>
      <c r="F314" s="44" t="s">
        <v>366</v>
      </c>
      <c r="I314" s="60"/>
      <c r="J314" s="49">
        <v>1</v>
      </c>
      <c r="K314" s="45">
        <v>0.1</v>
      </c>
    </row>
    <row r="315" spans="1:11" ht="16.5" customHeight="1" x14ac:dyDescent="0.3">
      <c r="A315" s="48">
        <v>46036</v>
      </c>
      <c r="B315" s="42" t="s">
        <v>34</v>
      </c>
      <c r="D315" s="42" t="s">
        <v>35</v>
      </c>
      <c r="E315" s="42" t="s">
        <v>209</v>
      </c>
      <c r="F315" s="44" t="s">
        <v>367</v>
      </c>
      <c r="I315" s="60"/>
      <c r="J315" s="49">
        <v>1</v>
      </c>
      <c r="K315" s="45">
        <v>0.5</v>
      </c>
    </row>
    <row r="316" spans="1:11" ht="16.5" customHeight="1" x14ac:dyDescent="0.3">
      <c r="A316" s="48">
        <v>46036</v>
      </c>
      <c r="B316" s="42" t="s">
        <v>34</v>
      </c>
      <c r="D316" s="42" t="s">
        <v>35</v>
      </c>
      <c r="E316" s="42" t="s">
        <v>209</v>
      </c>
      <c r="F316" s="44" t="s">
        <v>368</v>
      </c>
      <c r="I316" s="60"/>
      <c r="J316" s="49">
        <v>1</v>
      </c>
      <c r="K316" s="45">
        <v>0.4</v>
      </c>
    </row>
    <row r="317" spans="1:11" ht="16.5" customHeight="1" x14ac:dyDescent="0.3">
      <c r="A317" s="48">
        <v>46036</v>
      </c>
      <c r="B317" s="42" t="s">
        <v>34</v>
      </c>
      <c r="D317" s="42" t="s">
        <v>35</v>
      </c>
      <c r="E317" s="42" t="s">
        <v>209</v>
      </c>
      <c r="F317" s="44" t="s">
        <v>369</v>
      </c>
      <c r="I317" s="60"/>
      <c r="J317" s="49">
        <v>1</v>
      </c>
      <c r="K317" s="45">
        <v>0.4</v>
      </c>
    </row>
    <row r="318" spans="1:11" ht="16.5" customHeight="1" x14ac:dyDescent="0.3">
      <c r="A318" s="48">
        <v>46036</v>
      </c>
      <c r="B318" s="42" t="s">
        <v>34</v>
      </c>
      <c r="D318" s="42" t="s">
        <v>35</v>
      </c>
      <c r="E318" s="42" t="s">
        <v>209</v>
      </c>
      <c r="F318" s="44" t="s">
        <v>370</v>
      </c>
      <c r="I318" s="60"/>
      <c r="J318" s="49">
        <v>1</v>
      </c>
      <c r="K318" s="45">
        <v>0.1</v>
      </c>
    </row>
    <row r="319" spans="1:11" ht="16.5" customHeight="1" x14ac:dyDescent="0.3">
      <c r="A319" s="48">
        <v>46036</v>
      </c>
      <c r="B319" s="42" t="s">
        <v>34</v>
      </c>
      <c r="D319" s="42" t="s">
        <v>35</v>
      </c>
      <c r="E319" s="42" t="s">
        <v>209</v>
      </c>
      <c r="F319" s="44" t="s">
        <v>371</v>
      </c>
      <c r="I319" s="60"/>
      <c r="J319" s="49">
        <v>1</v>
      </c>
      <c r="K319" s="45">
        <v>0.1</v>
      </c>
    </row>
    <row r="320" spans="1:11" ht="16.5" customHeight="1" x14ac:dyDescent="0.3">
      <c r="A320" s="48">
        <v>46036</v>
      </c>
      <c r="B320" s="42" t="s">
        <v>34</v>
      </c>
      <c r="D320" s="42" t="s">
        <v>35</v>
      </c>
      <c r="E320" s="42" t="s">
        <v>209</v>
      </c>
      <c r="F320" s="44" t="s">
        <v>372</v>
      </c>
      <c r="I320" s="60"/>
      <c r="J320" s="49">
        <v>1</v>
      </c>
      <c r="K320" s="45">
        <v>0.3</v>
      </c>
    </row>
    <row r="321" spans="1:11" ht="16.5" customHeight="1" x14ac:dyDescent="0.3">
      <c r="A321" s="48">
        <v>46036</v>
      </c>
      <c r="B321" s="42" t="s">
        <v>34</v>
      </c>
      <c r="D321" s="42" t="s">
        <v>35</v>
      </c>
      <c r="E321" s="42" t="s">
        <v>209</v>
      </c>
      <c r="F321" s="44" t="s">
        <v>373</v>
      </c>
      <c r="I321" s="60"/>
      <c r="J321" s="49">
        <v>1</v>
      </c>
      <c r="K321" s="45">
        <v>0.1</v>
      </c>
    </row>
    <row r="322" spans="1:11" ht="16.5" customHeight="1" x14ac:dyDescent="0.3">
      <c r="A322" s="48">
        <v>46036</v>
      </c>
      <c r="B322" s="42" t="s">
        <v>34</v>
      </c>
      <c r="D322" s="42" t="s">
        <v>35</v>
      </c>
      <c r="E322" s="42" t="s">
        <v>209</v>
      </c>
      <c r="F322" s="44" t="s">
        <v>374</v>
      </c>
      <c r="I322" s="60"/>
      <c r="J322" s="49">
        <v>1</v>
      </c>
      <c r="K322" s="45">
        <v>0.7</v>
      </c>
    </row>
    <row r="323" spans="1:11" ht="16.5" customHeight="1" x14ac:dyDescent="0.3">
      <c r="A323" s="48">
        <v>46036</v>
      </c>
      <c r="B323" s="42" t="s">
        <v>34</v>
      </c>
      <c r="D323" s="42" t="s">
        <v>35</v>
      </c>
      <c r="E323" s="42" t="s">
        <v>209</v>
      </c>
      <c r="F323" s="44" t="s">
        <v>375</v>
      </c>
      <c r="I323" s="60"/>
      <c r="J323" s="49">
        <v>1</v>
      </c>
      <c r="K323" s="45">
        <v>1</v>
      </c>
    </row>
    <row r="324" spans="1:11" ht="16.5" customHeight="1" x14ac:dyDescent="0.3">
      <c r="A324" s="48">
        <v>46036</v>
      </c>
      <c r="B324" s="42" t="s">
        <v>34</v>
      </c>
      <c r="D324" s="42" t="s">
        <v>35</v>
      </c>
      <c r="E324" s="42" t="s">
        <v>209</v>
      </c>
      <c r="F324" s="44" t="s">
        <v>376</v>
      </c>
      <c r="I324" s="60"/>
      <c r="J324" s="49">
        <v>1</v>
      </c>
      <c r="K324" s="45">
        <v>0.1</v>
      </c>
    </row>
    <row r="325" spans="1:11" ht="16.5" customHeight="1" x14ac:dyDescent="0.3">
      <c r="A325" s="48">
        <v>46036</v>
      </c>
      <c r="B325" s="42" t="s">
        <v>34</v>
      </c>
      <c r="D325" s="42" t="s">
        <v>35</v>
      </c>
      <c r="E325" s="42" t="s">
        <v>209</v>
      </c>
      <c r="F325" s="44" t="s">
        <v>377</v>
      </c>
      <c r="I325" s="60"/>
      <c r="J325" s="49">
        <v>1</v>
      </c>
      <c r="K325" s="45">
        <v>0.1</v>
      </c>
    </row>
    <row r="326" spans="1:11" ht="16.5" customHeight="1" x14ac:dyDescent="0.3">
      <c r="A326" s="48">
        <v>46036</v>
      </c>
      <c r="B326" s="42" t="s">
        <v>34</v>
      </c>
      <c r="D326" s="42" t="s">
        <v>35</v>
      </c>
      <c r="E326" s="42" t="s">
        <v>209</v>
      </c>
      <c r="F326" s="44" t="s">
        <v>378</v>
      </c>
      <c r="I326" s="60"/>
      <c r="J326" s="49">
        <v>1</v>
      </c>
      <c r="K326" s="45">
        <v>2.7</v>
      </c>
    </row>
    <row r="327" spans="1:11" ht="16.5" customHeight="1" x14ac:dyDescent="0.3">
      <c r="A327" s="48">
        <v>46036</v>
      </c>
      <c r="B327" s="42" t="s">
        <v>34</v>
      </c>
      <c r="D327" s="42" t="s">
        <v>35</v>
      </c>
      <c r="E327" s="42" t="s">
        <v>209</v>
      </c>
      <c r="F327" s="44" t="s">
        <v>379</v>
      </c>
      <c r="G327" s="68"/>
      <c r="H327" s="68"/>
      <c r="I327" s="59"/>
      <c r="J327" s="49">
        <v>1</v>
      </c>
      <c r="K327" s="45">
        <v>1.1000000000000001</v>
      </c>
    </row>
    <row r="328" spans="1:11" ht="16.5" customHeight="1" x14ac:dyDescent="0.3">
      <c r="A328" s="48">
        <v>46036</v>
      </c>
      <c r="B328" s="42" t="s">
        <v>34</v>
      </c>
      <c r="D328" s="42" t="s">
        <v>35</v>
      </c>
      <c r="E328" s="42" t="s">
        <v>209</v>
      </c>
      <c r="F328" s="44" t="s">
        <v>380</v>
      </c>
      <c r="I328" s="60"/>
      <c r="J328" s="49">
        <v>1</v>
      </c>
      <c r="K328" s="45">
        <v>0.5</v>
      </c>
    </row>
    <row r="329" spans="1:11" ht="16.5" customHeight="1" x14ac:dyDescent="0.3">
      <c r="A329" s="48">
        <v>46036</v>
      </c>
      <c r="B329" s="42" t="s">
        <v>34</v>
      </c>
      <c r="D329" s="42" t="s">
        <v>35</v>
      </c>
      <c r="E329" s="42" t="s">
        <v>209</v>
      </c>
      <c r="F329" s="44" t="s">
        <v>381</v>
      </c>
      <c r="I329" s="60"/>
      <c r="J329" s="49">
        <v>1</v>
      </c>
      <c r="K329" s="45">
        <v>0.8</v>
      </c>
    </row>
    <row r="330" spans="1:11" ht="16.5" customHeight="1" x14ac:dyDescent="0.3">
      <c r="A330" s="48">
        <v>46036</v>
      </c>
      <c r="B330" s="42" t="s">
        <v>34</v>
      </c>
      <c r="D330" s="42" t="s">
        <v>35</v>
      </c>
      <c r="E330" s="42" t="s">
        <v>209</v>
      </c>
      <c r="F330" s="44" t="s">
        <v>382</v>
      </c>
      <c r="I330" s="60"/>
      <c r="J330" s="49">
        <v>1</v>
      </c>
      <c r="K330" s="45">
        <v>1.1000000000000001</v>
      </c>
    </row>
    <row r="331" spans="1:11" ht="16.5" customHeight="1" x14ac:dyDescent="0.3">
      <c r="A331" s="48">
        <v>46036</v>
      </c>
      <c r="B331" s="42" t="s">
        <v>34</v>
      </c>
      <c r="D331" s="42" t="s">
        <v>35</v>
      </c>
      <c r="E331" s="42" t="s">
        <v>209</v>
      </c>
      <c r="F331" s="44" t="s">
        <v>383</v>
      </c>
      <c r="I331" s="60"/>
      <c r="J331" s="49">
        <v>1</v>
      </c>
      <c r="K331" s="45">
        <v>0.6</v>
      </c>
    </row>
    <row r="332" spans="1:11" ht="16.5" customHeight="1" x14ac:dyDescent="0.3">
      <c r="A332" s="48">
        <v>46036</v>
      </c>
      <c r="B332" s="42" t="s">
        <v>34</v>
      </c>
      <c r="D332" s="42" t="s">
        <v>35</v>
      </c>
      <c r="E332" s="42" t="s">
        <v>209</v>
      </c>
      <c r="F332" s="44" t="s">
        <v>384</v>
      </c>
      <c r="I332" s="60"/>
      <c r="J332" s="49">
        <v>1</v>
      </c>
      <c r="K332" s="45">
        <v>6.7</v>
      </c>
    </row>
    <row r="333" spans="1:11" ht="16.5" customHeight="1" x14ac:dyDescent="0.3">
      <c r="A333" s="48">
        <v>46036</v>
      </c>
      <c r="B333" s="42" t="s">
        <v>34</v>
      </c>
      <c r="D333" s="42" t="s">
        <v>35</v>
      </c>
      <c r="E333" s="42" t="s">
        <v>209</v>
      </c>
      <c r="F333" s="44" t="s">
        <v>385</v>
      </c>
      <c r="I333" s="60"/>
      <c r="J333" s="49">
        <v>1</v>
      </c>
      <c r="K333" s="45">
        <v>0.1</v>
      </c>
    </row>
    <row r="334" spans="1:11" ht="16.5" customHeight="1" x14ac:dyDescent="0.3">
      <c r="A334" s="48">
        <v>46036</v>
      </c>
      <c r="B334" s="42" t="s">
        <v>34</v>
      </c>
      <c r="D334" s="42" t="s">
        <v>35</v>
      </c>
      <c r="E334" s="42" t="s">
        <v>209</v>
      </c>
      <c r="F334" s="44" t="s">
        <v>386</v>
      </c>
      <c r="I334" s="60"/>
      <c r="J334" s="49">
        <v>1</v>
      </c>
      <c r="K334" s="45">
        <v>1.4</v>
      </c>
    </row>
    <row r="335" spans="1:11" ht="16.5" customHeight="1" x14ac:dyDescent="0.3">
      <c r="A335" s="48">
        <v>46036</v>
      </c>
      <c r="B335" s="42" t="s">
        <v>34</v>
      </c>
      <c r="D335" s="42" t="s">
        <v>35</v>
      </c>
      <c r="E335" s="42" t="s">
        <v>209</v>
      </c>
      <c r="F335" s="44" t="s">
        <v>387</v>
      </c>
      <c r="I335" s="60"/>
      <c r="J335" s="49">
        <v>1</v>
      </c>
      <c r="K335" s="45">
        <v>0.1</v>
      </c>
    </row>
    <row r="336" spans="1:11" ht="16.5" customHeight="1" x14ac:dyDescent="0.3">
      <c r="A336" s="48">
        <v>46036</v>
      </c>
      <c r="B336" s="42" t="s">
        <v>34</v>
      </c>
      <c r="D336" s="42" t="s">
        <v>35</v>
      </c>
      <c r="E336" s="42" t="s">
        <v>209</v>
      </c>
      <c r="F336" s="44" t="s">
        <v>388</v>
      </c>
      <c r="I336" s="60"/>
      <c r="J336" s="49">
        <v>1</v>
      </c>
      <c r="K336" s="45">
        <v>0.1</v>
      </c>
    </row>
    <row r="337" spans="1:14" ht="16.5" customHeight="1" x14ac:dyDescent="0.3">
      <c r="A337" s="48">
        <v>46036</v>
      </c>
      <c r="B337" s="42" t="s">
        <v>34</v>
      </c>
      <c r="D337" s="42" t="s">
        <v>35</v>
      </c>
      <c r="E337" s="42" t="s">
        <v>209</v>
      </c>
      <c r="F337" s="44" t="s">
        <v>389</v>
      </c>
      <c r="I337" s="60"/>
      <c r="J337" s="49">
        <v>1</v>
      </c>
      <c r="K337" s="45">
        <v>6.7</v>
      </c>
    </row>
    <row r="338" spans="1:14" ht="16.5" customHeight="1" x14ac:dyDescent="0.3">
      <c r="A338" s="48">
        <v>46036</v>
      </c>
      <c r="B338" s="42" t="s">
        <v>34</v>
      </c>
      <c r="D338" s="42" t="s">
        <v>35</v>
      </c>
      <c r="E338" s="42" t="s">
        <v>209</v>
      </c>
      <c r="F338" s="44" t="s">
        <v>390</v>
      </c>
      <c r="I338" s="60"/>
      <c r="J338" s="49">
        <v>1</v>
      </c>
      <c r="K338" s="45">
        <v>0.1</v>
      </c>
    </row>
    <row r="339" spans="1:14" ht="16.5" customHeight="1" x14ac:dyDescent="0.3">
      <c r="A339" s="48">
        <v>46036</v>
      </c>
      <c r="B339" s="42" t="s">
        <v>34</v>
      </c>
      <c r="D339" s="42" t="s">
        <v>35</v>
      </c>
      <c r="E339" s="42" t="s">
        <v>209</v>
      </c>
      <c r="F339" s="44" t="s">
        <v>391</v>
      </c>
      <c r="I339" s="60"/>
      <c r="J339" s="49">
        <v>1</v>
      </c>
      <c r="K339" s="45">
        <v>0.8</v>
      </c>
    </row>
    <row r="340" spans="1:14" ht="16.5" customHeight="1" x14ac:dyDescent="0.3">
      <c r="A340" s="48">
        <v>46036</v>
      </c>
      <c r="B340" s="42" t="s">
        <v>34</v>
      </c>
      <c r="D340" s="42" t="s">
        <v>35</v>
      </c>
      <c r="E340" s="42" t="s">
        <v>209</v>
      </c>
      <c r="F340" s="44" t="s">
        <v>392</v>
      </c>
      <c r="I340" s="60"/>
      <c r="J340" s="49">
        <v>1</v>
      </c>
      <c r="K340" s="45">
        <v>2.2000000000000002</v>
      </c>
    </row>
    <row r="341" spans="1:14" ht="16.5" customHeight="1" x14ac:dyDescent="0.3">
      <c r="A341" s="48">
        <v>46036</v>
      </c>
      <c r="B341" s="42" t="s">
        <v>34</v>
      </c>
      <c r="D341" s="42" t="s">
        <v>35</v>
      </c>
      <c r="E341" s="42" t="s">
        <v>209</v>
      </c>
      <c r="F341" s="44" t="s">
        <v>393</v>
      </c>
      <c r="I341" s="60"/>
      <c r="J341" s="49">
        <v>1</v>
      </c>
      <c r="K341" s="45">
        <v>1.3</v>
      </c>
    </row>
    <row r="342" spans="1:14" ht="16.5" customHeight="1" x14ac:dyDescent="0.3">
      <c r="A342" s="48">
        <v>46036</v>
      </c>
      <c r="B342" s="42" t="s">
        <v>34</v>
      </c>
      <c r="D342" s="42" t="s">
        <v>35</v>
      </c>
      <c r="E342" s="42" t="s">
        <v>209</v>
      </c>
      <c r="F342" s="44" t="s">
        <v>394</v>
      </c>
      <c r="I342" s="60"/>
      <c r="J342" s="49">
        <v>1</v>
      </c>
      <c r="K342" s="45">
        <v>1.6</v>
      </c>
    </row>
    <row r="343" spans="1:14" ht="16.5" customHeight="1" x14ac:dyDescent="0.3">
      <c r="A343" s="48">
        <v>46036</v>
      </c>
      <c r="B343" s="42" t="s">
        <v>34</v>
      </c>
      <c r="D343" s="42" t="s">
        <v>35</v>
      </c>
      <c r="E343" s="42" t="s">
        <v>209</v>
      </c>
      <c r="F343" s="44" t="s">
        <v>395</v>
      </c>
      <c r="I343" s="60"/>
      <c r="J343" s="49">
        <v>1</v>
      </c>
      <c r="K343" s="45">
        <v>2.1</v>
      </c>
    </row>
    <row r="344" spans="1:14" ht="16.5" customHeight="1" x14ac:dyDescent="0.3">
      <c r="A344" s="48">
        <v>46036</v>
      </c>
      <c r="B344" s="42" t="s">
        <v>34</v>
      </c>
      <c r="D344" s="42" t="s">
        <v>35</v>
      </c>
      <c r="E344" s="42" t="s">
        <v>209</v>
      </c>
      <c r="F344" s="44" t="s">
        <v>396</v>
      </c>
      <c r="I344" s="60"/>
      <c r="J344" s="49">
        <v>1</v>
      </c>
      <c r="K344" s="45">
        <v>1.7</v>
      </c>
    </row>
    <row r="345" spans="1:14" ht="16.5" customHeight="1" x14ac:dyDescent="0.3">
      <c r="A345" s="48">
        <v>46036</v>
      </c>
      <c r="B345" s="42" t="s">
        <v>34</v>
      </c>
      <c r="D345" s="42" t="s">
        <v>35</v>
      </c>
      <c r="E345" s="42" t="s">
        <v>209</v>
      </c>
      <c r="F345" s="44" t="s">
        <v>397</v>
      </c>
      <c r="I345" s="60"/>
      <c r="J345" s="49">
        <v>1</v>
      </c>
      <c r="K345" s="45">
        <v>1</v>
      </c>
    </row>
    <row r="346" spans="1:14" ht="16.5" customHeight="1" x14ac:dyDescent="0.3">
      <c r="A346" s="48">
        <v>46036</v>
      </c>
      <c r="B346" s="42" t="s">
        <v>34</v>
      </c>
      <c r="D346" s="42" t="s">
        <v>35</v>
      </c>
      <c r="E346" s="42" t="s">
        <v>209</v>
      </c>
      <c r="F346" s="44" t="s">
        <v>398</v>
      </c>
      <c r="I346" s="60"/>
      <c r="J346" s="49">
        <v>1</v>
      </c>
      <c r="K346" s="45">
        <v>0.9</v>
      </c>
    </row>
    <row r="347" spans="1:14" ht="16.5" customHeight="1" x14ac:dyDescent="0.3">
      <c r="A347" s="48">
        <v>46036</v>
      </c>
      <c r="B347" s="42" t="s">
        <v>34</v>
      </c>
      <c r="D347" s="42" t="s">
        <v>35</v>
      </c>
      <c r="E347" s="42" t="s">
        <v>209</v>
      </c>
      <c r="F347" s="44" t="s">
        <v>399</v>
      </c>
      <c r="I347" s="60"/>
      <c r="J347" s="49">
        <v>1</v>
      </c>
      <c r="K347" s="45">
        <v>1.2</v>
      </c>
      <c r="M347" s="61"/>
      <c r="N347" s="61"/>
    </row>
    <row r="348" spans="1:14" ht="16.5" customHeight="1" x14ac:dyDescent="0.3">
      <c r="A348" s="48">
        <v>46036</v>
      </c>
      <c r="B348" s="42" t="s">
        <v>34</v>
      </c>
      <c r="D348" s="42" t="s">
        <v>35</v>
      </c>
      <c r="E348" s="42" t="s">
        <v>209</v>
      </c>
      <c r="F348" s="44" t="s">
        <v>400</v>
      </c>
      <c r="I348" s="60"/>
      <c r="J348" s="49">
        <v>1</v>
      </c>
      <c r="K348" s="45">
        <v>0.4</v>
      </c>
    </row>
    <row r="349" spans="1:14" ht="16.5" customHeight="1" x14ac:dyDescent="0.3">
      <c r="A349" s="48">
        <v>46036</v>
      </c>
      <c r="B349" s="42" t="s">
        <v>34</v>
      </c>
      <c r="D349" s="42" t="s">
        <v>35</v>
      </c>
      <c r="E349" s="42" t="s">
        <v>209</v>
      </c>
      <c r="F349" s="44" t="s">
        <v>401</v>
      </c>
      <c r="I349" s="60"/>
      <c r="J349" s="49">
        <v>1</v>
      </c>
      <c r="K349" s="45">
        <v>0.5</v>
      </c>
    </row>
    <row r="350" spans="1:14" ht="16.5" customHeight="1" x14ac:dyDescent="0.3">
      <c r="A350" s="48">
        <v>46036</v>
      </c>
      <c r="B350" s="42" t="s">
        <v>34</v>
      </c>
      <c r="D350" s="42" t="s">
        <v>35</v>
      </c>
      <c r="E350" s="42" t="s">
        <v>209</v>
      </c>
      <c r="F350" s="44" t="s">
        <v>402</v>
      </c>
      <c r="I350" s="60"/>
      <c r="J350" s="49">
        <v>1</v>
      </c>
      <c r="K350" s="45">
        <v>0.6</v>
      </c>
    </row>
    <row r="351" spans="1:14" ht="16.5" customHeight="1" x14ac:dyDescent="0.3">
      <c r="A351" s="48">
        <v>46036</v>
      </c>
      <c r="B351" s="42" t="s">
        <v>34</v>
      </c>
      <c r="D351" s="42" t="s">
        <v>35</v>
      </c>
      <c r="E351" s="42" t="s">
        <v>209</v>
      </c>
      <c r="F351" s="44" t="s">
        <v>403</v>
      </c>
      <c r="I351" s="60"/>
      <c r="J351" s="49">
        <v>1</v>
      </c>
      <c r="K351" s="45">
        <v>0.5</v>
      </c>
    </row>
    <row r="352" spans="1:14" ht="16.5" customHeight="1" x14ac:dyDescent="0.3">
      <c r="A352" s="48">
        <v>46036</v>
      </c>
      <c r="B352" s="42" t="s">
        <v>34</v>
      </c>
      <c r="D352" s="42" t="s">
        <v>35</v>
      </c>
      <c r="E352" s="42" t="s">
        <v>209</v>
      </c>
      <c r="F352" s="44" t="s">
        <v>404</v>
      </c>
      <c r="I352" s="60"/>
      <c r="J352" s="49">
        <v>1</v>
      </c>
      <c r="K352" s="45">
        <v>0.4</v>
      </c>
    </row>
    <row r="353" spans="1:11" ht="16.5" customHeight="1" x14ac:dyDescent="0.3">
      <c r="A353" s="48">
        <v>46036</v>
      </c>
      <c r="B353" s="42" t="s">
        <v>34</v>
      </c>
      <c r="D353" s="42" t="s">
        <v>35</v>
      </c>
      <c r="E353" s="42" t="s">
        <v>209</v>
      </c>
      <c r="F353" s="44" t="s">
        <v>405</v>
      </c>
      <c r="I353" s="60"/>
      <c r="J353" s="49">
        <v>1</v>
      </c>
      <c r="K353" s="45">
        <v>0.5</v>
      </c>
    </row>
    <row r="354" spans="1:11" ht="16.5" customHeight="1" x14ac:dyDescent="0.3">
      <c r="A354" s="48">
        <v>46036</v>
      </c>
      <c r="B354" s="42" t="s">
        <v>34</v>
      </c>
      <c r="D354" s="42" t="s">
        <v>35</v>
      </c>
      <c r="E354" s="42" t="s">
        <v>209</v>
      </c>
      <c r="F354" s="44" t="s">
        <v>406</v>
      </c>
      <c r="I354" s="60"/>
      <c r="J354" s="49">
        <v>1</v>
      </c>
      <c r="K354" s="45">
        <v>0.7</v>
      </c>
    </row>
    <row r="355" spans="1:11" ht="16.5" customHeight="1" x14ac:dyDescent="0.3">
      <c r="A355" s="48">
        <v>46036</v>
      </c>
      <c r="B355" s="42" t="s">
        <v>34</v>
      </c>
      <c r="D355" s="42" t="s">
        <v>35</v>
      </c>
      <c r="E355" s="42" t="s">
        <v>209</v>
      </c>
      <c r="F355" s="44" t="s">
        <v>407</v>
      </c>
      <c r="I355" s="60"/>
      <c r="J355" s="49">
        <v>1</v>
      </c>
      <c r="K355" s="45">
        <v>0.4</v>
      </c>
    </row>
    <row r="356" spans="1:11" ht="16.5" customHeight="1" x14ac:dyDescent="0.3">
      <c r="A356" s="48">
        <v>46036</v>
      </c>
      <c r="B356" s="42" t="s">
        <v>34</v>
      </c>
      <c r="D356" s="42" t="s">
        <v>35</v>
      </c>
      <c r="E356" s="42" t="s">
        <v>209</v>
      </c>
      <c r="F356" s="44" t="s">
        <v>408</v>
      </c>
      <c r="I356" s="60"/>
      <c r="J356" s="49">
        <v>1</v>
      </c>
      <c r="K356" s="45">
        <v>0.9</v>
      </c>
    </row>
    <row r="357" spans="1:11" ht="16.5" customHeight="1" x14ac:dyDescent="0.3">
      <c r="A357" s="48">
        <v>46036</v>
      </c>
      <c r="B357" s="42" t="s">
        <v>34</v>
      </c>
      <c r="D357" s="42" t="s">
        <v>35</v>
      </c>
      <c r="E357" s="42" t="s">
        <v>209</v>
      </c>
      <c r="F357" s="44" t="s">
        <v>409</v>
      </c>
      <c r="I357" s="60"/>
      <c r="J357" s="49">
        <v>1</v>
      </c>
      <c r="K357" s="45">
        <v>0.6</v>
      </c>
    </row>
    <row r="358" spans="1:11" ht="16.5" customHeight="1" x14ac:dyDescent="0.3">
      <c r="A358" s="48">
        <v>46036</v>
      </c>
      <c r="B358" s="42" t="s">
        <v>34</v>
      </c>
      <c r="D358" s="42" t="s">
        <v>35</v>
      </c>
      <c r="E358" s="42" t="s">
        <v>209</v>
      </c>
      <c r="F358" s="44" t="s">
        <v>410</v>
      </c>
      <c r="I358" s="60"/>
      <c r="J358" s="49">
        <v>1</v>
      </c>
      <c r="K358" s="45">
        <v>0.4</v>
      </c>
    </row>
    <row r="359" spans="1:11" ht="16.5" customHeight="1" x14ac:dyDescent="0.3">
      <c r="A359" s="48">
        <v>46036</v>
      </c>
      <c r="B359" s="42" t="s">
        <v>34</v>
      </c>
      <c r="D359" s="42" t="s">
        <v>35</v>
      </c>
      <c r="E359" s="42" t="s">
        <v>209</v>
      </c>
      <c r="F359" s="44" t="s">
        <v>411</v>
      </c>
      <c r="I359" s="60"/>
      <c r="J359" s="49">
        <v>1</v>
      </c>
      <c r="K359" s="45">
        <v>0.2</v>
      </c>
    </row>
    <row r="360" spans="1:11" ht="16.5" customHeight="1" x14ac:dyDescent="0.3">
      <c r="A360" s="48">
        <v>46036</v>
      </c>
      <c r="B360" s="42" t="s">
        <v>34</v>
      </c>
      <c r="D360" s="42" t="s">
        <v>35</v>
      </c>
      <c r="E360" s="42" t="s">
        <v>209</v>
      </c>
      <c r="F360" s="44" t="s">
        <v>412</v>
      </c>
      <c r="I360" s="60"/>
      <c r="J360" s="49">
        <v>1</v>
      </c>
      <c r="K360" s="45">
        <v>1</v>
      </c>
    </row>
    <row r="361" spans="1:11" ht="16.5" customHeight="1" x14ac:dyDescent="0.3">
      <c r="A361" s="48">
        <v>46036</v>
      </c>
      <c r="B361" s="42" t="s">
        <v>34</v>
      </c>
      <c r="D361" s="42" t="s">
        <v>35</v>
      </c>
      <c r="E361" s="42" t="s">
        <v>209</v>
      </c>
      <c r="F361" s="44" t="s">
        <v>413</v>
      </c>
      <c r="I361" s="60"/>
      <c r="J361" s="49">
        <v>1</v>
      </c>
      <c r="K361" s="45">
        <v>0.9</v>
      </c>
    </row>
    <row r="362" spans="1:11" ht="16.5" customHeight="1" x14ac:dyDescent="0.3">
      <c r="A362" s="48">
        <v>46036</v>
      </c>
      <c r="B362" s="42" t="s">
        <v>34</v>
      </c>
      <c r="D362" s="42" t="s">
        <v>35</v>
      </c>
      <c r="E362" s="42" t="s">
        <v>209</v>
      </c>
      <c r="F362" s="44" t="s">
        <v>414</v>
      </c>
      <c r="I362" s="60"/>
      <c r="J362" s="49">
        <v>1</v>
      </c>
      <c r="K362" s="45">
        <v>0.6</v>
      </c>
    </row>
    <row r="363" spans="1:11" ht="16.5" customHeight="1" x14ac:dyDescent="0.3">
      <c r="A363" s="48">
        <v>46036</v>
      </c>
      <c r="B363" s="42" t="s">
        <v>34</v>
      </c>
      <c r="D363" s="42" t="s">
        <v>35</v>
      </c>
      <c r="E363" s="42" t="s">
        <v>209</v>
      </c>
      <c r="F363" s="44" t="s">
        <v>415</v>
      </c>
      <c r="I363" s="60"/>
      <c r="J363" s="49">
        <v>1</v>
      </c>
      <c r="K363" s="45">
        <v>0.7</v>
      </c>
    </row>
    <row r="364" spans="1:11" ht="16.5" customHeight="1" x14ac:dyDescent="0.3">
      <c r="A364" s="48">
        <v>46036</v>
      </c>
      <c r="B364" s="42" t="s">
        <v>34</v>
      </c>
      <c r="D364" s="42" t="s">
        <v>35</v>
      </c>
      <c r="E364" s="42" t="s">
        <v>209</v>
      </c>
      <c r="F364" s="44" t="s">
        <v>416</v>
      </c>
      <c r="I364" s="60"/>
      <c r="J364" s="49">
        <v>1</v>
      </c>
      <c r="K364" s="45">
        <v>0.3</v>
      </c>
    </row>
    <row r="365" spans="1:11" ht="16.5" customHeight="1" x14ac:dyDescent="0.3">
      <c r="A365" s="48">
        <v>46036</v>
      </c>
      <c r="B365" s="42" t="s">
        <v>34</v>
      </c>
      <c r="D365" s="42" t="s">
        <v>35</v>
      </c>
      <c r="E365" s="42" t="s">
        <v>209</v>
      </c>
      <c r="F365" s="44" t="s">
        <v>417</v>
      </c>
      <c r="I365" s="60"/>
      <c r="J365" s="49">
        <v>1</v>
      </c>
      <c r="K365" s="45">
        <v>1</v>
      </c>
    </row>
    <row r="366" spans="1:11" ht="16.5" customHeight="1" x14ac:dyDescent="0.3">
      <c r="A366" s="48">
        <v>46036</v>
      </c>
      <c r="B366" s="42" t="s">
        <v>34</v>
      </c>
      <c r="D366" s="42" t="s">
        <v>35</v>
      </c>
      <c r="E366" s="42" t="s">
        <v>209</v>
      </c>
      <c r="F366" s="44" t="s">
        <v>418</v>
      </c>
      <c r="I366" s="60"/>
      <c r="J366" s="49">
        <v>1</v>
      </c>
      <c r="K366" s="45">
        <v>2.2000000000000002</v>
      </c>
    </row>
    <row r="367" spans="1:11" ht="16.5" customHeight="1" x14ac:dyDescent="0.3">
      <c r="A367" s="48">
        <v>46036</v>
      </c>
      <c r="B367" s="42" t="s">
        <v>34</v>
      </c>
      <c r="D367" s="42" t="s">
        <v>35</v>
      </c>
      <c r="E367" s="42" t="s">
        <v>209</v>
      </c>
      <c r="F367" s="44" t="s">
        <v>419</v>
      </c>
      <c r="I367" s="60"/>
      <c r="J367" s="49">
        <v>1</v>
      </c>
      <c r="K367" s="45">
        <v>1.9</v>
      </c>
    </row>
    <row r="368" spans="1:11" ht="16.5" customHeight="1" x14ac:dyDescent="0.3">
      <c r="A368" s="48">
        <v>46036</v>
      </c>
      <c r="B368" s="42" t="s">
        <v>34</v>
      </c>
      <c r="D368" s="42" t="s">
        <v>35</v>
      </c>
      <c r="E368" s="42" t="s">
        <v>209</v>
      </c>
      <c r="F368" s="44" t="s">
        <v>420</v>
      </c>
      <c r="I368" s="60"/>
      <c r="J368" s="49">
        <v>1</v>
      </c>
      <c r="K368" s="45">
        <v>0.8</v>
      </c>
    </row>
    <row r="369" spans="1:12" ht="16.5" customHeight="1" x14ac:dyDescent="0.3">
      <c r="A369" s="48">
        <v>46036</v>
      </c>
      <c r="B369" s="42" t="s">
        <v>34</v>
      </c>
      <c r="D369" s="42" t="s">
        <v>35</v>
      </c>
      <c r="E369" s="42" t="s">
        <v>209</v>
      </c>
      <c r="F369" s="44" t="s">
        <v>421</v>
      </c>
      <c r="I369" s="60"/>
      <c r="J369" s="49">
        <v>1</v>
      </c>
      <c r="K369" s="45">
        <v>2.1</v>
      </c>
    </row>
    <row r="370" spans="1:12" ht="16.5" customHeight="1" x14ac:dyDescent="0.3">
      <c r="A370" s="48">
        <v>46036</v>
      </c>
      <c r="B370" s="42" t="s">
        <v>34</v>
      </c>
      <c r="D370" s="42" t="s">
        <v>35</v>
      </c>
      <c r="E370" s="42" t="s">
        <v>209</v>
      </c>
      <c r="F370" s="44" t="s">
        <v>422</v>
      </c>
      <c r="I370" s="60"/>
      <c r="J370" s="49">
        <v>1</v>
      </c>
      <c r="K370" s="45">
        <v>2.1</v>
      </c>
    </row>
    <row r="371" spans="1:12" ht="16.5" customHeight="1" x14ac:dyDescent="0.3">
      <c r="A371" s="48">
        <v>46036</v>
      </c>
      <c r="B371" s="42" t="s">
        <v>34</v>
      </c>
      <c r="D371" s="42" t="s">
        <v>35</v>
      </c>
      <c r="E371" s="42" t="s">
        <v>209</v>
      </c>
      <c r="F371" s="44" t="s">
        <v>423</v>
      </c>
      <c r="I371" s="60"/>
      <c r="J371" s="49">
        <v>1</v>
      </c>
      <c r="K371" s="45">
        <v>1.9</v>
      </c>
    </row>
    <row r="372" spans="1:12" ht="16.5" customHeight="1" x14ac:dyDescent="0.3">
      <c r="A372" s="48">
        <v>46036</v>
      </c>
      <c r="B372" s="42" t="s">
        <v>34</v>
      </c>
      <c r="D372" s="42" t="s">
        <v>35</v>
      </c>
      <c r="E372" s="42" t="s">
        <v>209</v>
      </c>
      <c r="F372" s="44" t="s">
        <v>424</v>
      </c>
      <c r="I372" s="60"/>
      <c r="J372" s="49">
        <v>1</v>
      </c>
      <c r="K372" s="45">
        <v>0.6</v>
      </c>
    </row>
    <row r="373" spans="1:12" ht="16.5" customHeight="1" x14ac:dyDescent="0.3">
      <c r="A373" s="48">
        <v>46036</v>
      </c>
      <c r="B373" s="42" t="s">
        <v>34</v>
      </c>
      <c r="D373" s="42" t="s">
        <v>35</v>
      </c>
      <c r="E373" s="42" t="s">
        <v>209</v>
      </c>
      <c r="F373" s="44" t="s">
        <v>425</v>
      </c>
      <c r="I373" s="60"/>
      <c r="J373" s="49">
        <v>1</v>
      </c>
      <c r="K373" s="45">
        <v>1.4</v>
      </c>
    </row>
    <row r="374" spans="1:12" ht="16.5" customHeight="1" x14ac:dyDescent="0.3">
      <c r="A374" s="48">
        <v>46036</v>
      </c>
      <c r="B374" s="42" t="s">
        <v>34</v>
      </c>
      <c r="D374" s="42" t="s">
        <v>35</v>
      </c>
      <c r="E374" s="42" t="s">
        <v>209</v>
      </c>
      <c r="F374" s="44" t="s">
        <v>426</v>
      </c>
      <c r="I374" s="60"/>
      <c r="J374" s="49">
        <v>1</v>
      </c>
      <c r="K374" s="45">
        <v>0.6</v>
      </c>
    </row>
    <row r="375" spans="1:12" ht="16.5" customHeight="1" x14ac:dyDescent="0.3">
      <c r="A375" s="48">
        <v>46036</v>
      </c>
      <c r="B375" s="42" t="s">
        <v>34</v>
      </c>
      <c r="D375" s="42" t="s">
        <v>35</v>
      </c>
      <c r="E375" s="42" t="s">
        <v>209</v>
      </c>
      <c r="F375" s="44" t="s">
        <v>427</v>
      </c>
      <c r="I375" s="60"/>
      <c r="J375" s="49">
        <v>1</v>
      </c>
      <c r="K375" s="45">
        <v>1.4</v>
      </c>
    </row>
    <row r="376" spans="1:12" ht="16.5" customHeight="1" x14ac:dyDescent="0.3">
      <c r="A376" s="48">
        <v>46036</v>
      </c>
      <c r="B376" s="42" t="s">
        <v>34</v>
      </c>
      <c r="D376" s="42" t="s">
        <v>35</v>
      </c>
      <c r="E376" s="42" t="s">
        <v>209</v>
      </c>
      <c r="F376" s="44" t="s">
        <v>428</v>
      </c>
      <c r="I376" s="60"/>
      <c r="J376" s="49">
        <v>1</v>
      </c>
      <c r="K376" s="45">
        <v>0.6</v>
      </c>
    </row>
    <row r="377" spans="1:12" ht="16.5" customHeight="1" x14ac:dyDescent="0.3">
      <c r="A377" s="48">
        <v>46036</v>
      </c>
      <c r="B377" s="42" t="s">
        <v>34</v>
      </c>
      <c r="D377" s="42" t="s">
        <v>35</v>
      </c>
      <c r="E377" s="42" t="s">
        <v>209</v>
      </c>
      <c r="F377" s="44" t="s">
        <v>429</v>
      </c>
      <c r="I377" s="60"/>
      <c r="J377" s="49">
        <v>1</v>
      </c>
      <c r="K377" s="45">
        <v>1</v>
      </c>
    </row>
    <row r="378" spans="1:12" ht="16.5" customHeight="1" x14ac:dyDescent="0.3">
      <c r="A378" s="48">
        <v>46036</v>
      </c>
      <c r="B378" s="42" t="s">
        <v>34</v>
      </c>
      <c r="D378" s="42" t="s">
        <v>35</v>
      </c>
      <c r="E378" s="42" t="s">
        <v>209</v>
      </c>
      <c r="F378" s="44" t="s">
        <v>430</v>
      </c>
      <c r="I378" s="60"/>
      <c r="J378" s="49">
        <v>1</v>
      </c>
      <c r="K378" s="45">
        <v>0.6</v>
      </c>
    </row>
    <row r="379" spans="1:12" ht="16.5" customHeight="1" x14ac:dyDescent="0.3">
      <c r="A379" s="48">
        <v>46036</v>
      </c>
      <c r="B379" s="42" t="s">
        <v>34</v>
      </c>
      <c r="D379" s="42" t="s">
        <v>35</v>
      </c>
      <c r="E379" s="42" t="s">
        <v>209</v>
      </c>
      <c r="F379" s="44" t="s">
        <v>431</v>
      </c>
      <c r="I379" s="60"/>
      <c r="J379" s="49">
        <v>1</v>
      </c>
      <c r="K379" s="45">
        <v>1.4</v>
      </c>
    </row>
    <row r="380" spans="1:12" ht="16.5" customHeight="1" x14ac:dyDescent="0.3">
      <c r="A380" s="48">
        <v>46036</v>
      </c>
      <c r="B380" s="42" t="s">
        <v>34</v>
      </c>
      <c r="D380" s="42" t="s">
        <v>35</v>
      </c>
      <c r="E380" s="42" t="s">
        <v>209</v>
      </c>
      <c r="F380" s="44" t="s">
        <v>432</v>
      </c>
      <c r="I380" s="60"/>
      <c r="J380" s="49">
        <v>1</v>
      </c>
      <c r="K380" s="45">
        <v>1.6</v>
      </c>
    </row>
    <row r="381" spans="1:12" ht="16.5" customHeight="1" x14ac:dyDescent="0.3">
      <c r="A381" s="48">
        <v>46036</v>
      </c>
      <c r="B381" s="42" t="s">
        <v>34</v>
      </c>
      <c r="D381" s="42" t="s">
        <v>35</v>
      </c>
      <c r="E381" s="42" t="s">
        <v>209</v>
      </c>
      <c r="F381" s="44" t="s">
        <v>433</v>
      </c>
      <c r="I381" s="60"/>
      <c r="J381" s="49">
        <v>1</v>
      </c>
      <c r="K381" s="45">
        <v>1.6</v>
      </c>
    </row>
    <row r="382" spans="1:12" ht="16.5" customHeight="1" x14ac:dyDescent="0.3">
      <c r="A382" s="48">
        <v>46036</v>
      </c>
      <c r="B382" s="42" t="s">
        <v>34</v>
      </c>
      <c r="D382" s="42" t="s">
        <v>35</v>
      </c>
      <c r="E382" s="42" t="s">
        <v>209</v>
      </c>
      <c r="F382" s="44" t="s">
        <v>434</v>
      </c>
      <c r="I382" s="60"/>
      <c r="J382" s="49">
        <v>1</v>
      </c>
      <c r="K382" s="45">
        <v>1.2</v>
      </c>
    </row>
    <row r="383" spans="1:12" ht="16.5" customHeight="1" x14ac:dyDescent="0.3">
      <c r="A383" s="48">
        <v>46036</v>
      </c>
      <c r="B383" s="42" t="s">
        <v>34</v>
      </c>
      <c r="D383" s="42" t="s">
        <v>35</v>
      </c>
      <c r="E383" s="42" t="s">
        <v>209</v>
      </c>
      <c r="F383" s="44" t="s">
        <v>435</v>
      </c>
      <c r="I383" s="60"/>
      <c r="J383" s="49">
        <v>1</v>
      </c>
      <c r="K383" s="45">
        <v>1.9</v>
      </c>
    </row>
    <row r="384" spans="1:12" ht="16.5" customHeight="1" x14ac:dyDescent="0.3">
      <c r="A384" s="48">
        <v>46036</v>
      </c>
      <c r="B384" s="42" t="s">
        <v>34</v>
      </c>
      <c r="D384" s="42" t="s">
        <v>35</v>
      </c>
      <c r="E384" s="42" t="s">
        <v>209</v>
      </c>
      <c r="F384" s="44" t="s">
        <v>436</v>
      </c>
      <c r="I384" s="60"/>
      <c r="J384" s="49">
        <v>1</v>
      </c>
      <c r="K384" s="46">
        <v>0.9</v>
      </c>
      <c r="L384" s="46"/>
    </row>
    <row r="385" spans="1:12" ht="16.5" customHeight="1" x14ac:dyDescent="0.3">
      <c r="A385" s="48">
        <v>46036</v>
      </c>
      <c r="B385" s="42" t="s">
        <v>34</v>
      </c>
      <c r="D385" s="42" t="s">
        <v>35</v>
      </c>
      <c r="E385" s="42" t="s">
        <v>209</v>
      </c>
      <c r="F385" s="44" t="s">
        <v>437</v>
      </c>
      <c r="I385" s="60"/>
      <c r="J385" s="49">
        <v>1</v>
      </c>
      <c r="K385" s="46">
        <v>1.9</v>
      </c>
      <c r="L385" s="46"/>
    </row>
    <row r="386" spans="1:12" ht="16.5" customHeight="1" x14ac:dyDescent="0.3">
      <c r="A386" s="48">
        <v>46036</v>
      </c>
      <c r="B386" s="42" t="s">
        <v>34</v>
      </c>
      <c r="D386" s="42" t="s">
        <v>35</v>
      </c>
      <c r="E386" s="42" t="s">
        <v>209</v>
      </c>
      <c r="F386" s="44" t="s">
        <v>438</v>
      </c>
      <c r="I386" s="60"/>
      <c r="J386" s="49">
        <v>1</v>
      </c>
      <c r="K386" s="45">
        <v>2.4</v>
      </c>
    </row>
    <row r="387" spans="1:12" ht="16.5" customHeight="1" x14ac:dyDescent="0.3">
      <c r="A387" s="48">
        <v>46036</v>
      </c>
      <c r="B387" s="42" t="s">
        <v>34</v>
      </c>
      <c r="D387" s="42" t="s">
        <v>35</v>
      </c>
      <c r="E387" s="42" t="s">
        <v>209</v>
      </c>
      <c r="F387" s="44" t="s">
        <v>439</v>
      </c>
      <c r="I387" s="60"/>
      <c r="J387" s="49">
        <v>1</v>
      </c>
      <c r="K387" s="45">
        <v>0.6</v>
      </c>
    </row>
    <row r="388" spans="1:12" ht="16.5" customHeight="1" x14ac:dyDescent="0.3">
      <c r="A388" s="48">
        <v>46036</v>
      </c>
      <c r="B388" s="42" t="s">
        <v>34</v>
      </c>
      <c r="D388" s="42" t="s">
        <v>35</v>
      </c>
      <c r="E388" s="42" t="s">
        <v>209</v>
      </c>
      <c r="F388" s="44" t="s">
        <v>440</v>
      </c>
      <c r="I388" s="60"/>
      <c r="J388" s="49">
        <v>1</v>
      </c>
      <c r="K388" s="45">
        <v>0.7</v>
      </c>
    </row>
    <row r="389" spans="1:12" ht="16.5" customHeight="1" x14ac:dyDescent="0.3">
      <c r="A389" s="48">
        <v>46036</v>
      </c>
      <c r="B389" s="42" t="s">
        <v>34</v>
      </c>
      <c r="D389" s="42" t="s">
        <v>35</v>
      </c>
      <c r="E389" s="42" t="s">
        <v>209</v>
      </c>
      <c r="F389" s="44" t="s">
        <v>441</v>
      </c>
      <c r="I389" s="60"/>
      <c r="J389" s="49">
        <v>1</v>
      </c>
      <c r="K389" s="45">
        <v>1.5</v>
      </c>
    </row>
    <row r="390" spans="1:12" ht="16.5" customHeight="1" x14ac:dyDescent="0.3">
      <c r="A390" s="48">
        <v>46036</v>
      </c>
      <c r="B390" s="42" t="s">
        <v>34</v>
      </c>
      <c r="D390" s="42" t="s">
        <v>35</v>
      </c>
      <c r="E390" s="42" t="s">
        <v>209</v>
      </c>
      <c r="F390" s="44" t="s">
        <v>442</v>
      </c>
      <c r="I390" s="60"/>
      <c r="J390" s="49">
        <v>1</v>
      </c>
      <c r="K390" s="45">
        <v>0.6</v>
      </c>
    </row>
    <row r="391" spans="1:12" ht="16.5" customHeight="1" x14ac:dyDescent="0.3">
      <c r="A391" s="48">
        <v>46036</v>
      </c>
      <c r="B391" s="42" t="s">
        <v>34</v>
      </c>
      <c r="D391" s="42" t="s">
        <v>35</v>
      </c>
      <c r="E391" s="42" t="s">
        <v>209</v>
      </c>
      <c r="F391" s="44" t="s">
        <v>443</v>
      </c>
      <c r="I391" s="60"/>
      <c r="J391" s="49">
        <v>1</v>
      </c>
      <c r="K391" s="45">
        <v>0.1</v>
      </c>
    </row>
    <row r="392" spans="1:12" ht="16.5" customHeight="1" x14ac:dyDescent="0.3">
      <c r="A392" s="48">
        <v>46036</v>
      </c>
      <c r="B392" s="42" t="s">
        <v>34</v>
      </c>
      <c r="D392" s="42" t="s">
        <v>35</v>
      </c>
      <c r="E392" s="42" t="s">
        <v>209</v>
      </c>
      <c r="F392" s="44" t="s">
        <v>444</v>
      </c>
      <c r="I392" s="60"/>
      <c r="J392" s="49">
        <v>1</v>
      </c>
      <c r="K392" s="45">
        <v>0.4</v>
      </c>
    </row>
    <row r="393" spans="1:12" ht="16.5" customHeight="1" x14ac:dyDescent="0.3">
      <c r="A393" s="48">
        <v>46036</v>
      </c>
      <c r="B393" s="42" t="s">
        <v>34</v>
      </c>
      <c r="D393" s="42" t="s">
        <v>35</v>
      </c>
      <c r="E393" s="42" t="s">
        <v>209</v>
      </c>
      <c r="F393" s="44" t="s">
        <v>445</v>
      </c>
      <c r="I393" s="60"/>
      <c r="J393" s="49">
        <v>1</v>
      </c>
      <c r="K393" s="45">
        <v>0.4</v>
      </c>
    </row>
    <row r="394" spans="1:12" ht="16.5" customHeight="1" x14ac:dyDescent="0.3">
      <c r="A394" s="48">
        <v>46036</v>
      </c>
      <c r="B394" s="42" t="s">
        <v>34</v>
      </c>
      <c r="D394" s="42" t="s">
        <v>35</v>
      </c>
      <c r="E394" s="42" t="s">
        <v>209</v>
      </c>
      <c r="F394" s="44" t="s">
        <v>446</v>
      </c>
      <c r="I394" s="60"/>
      <c r="J394" s="49">
        <v>1</v>
      </c>
      <c r="K394" s="45">
        <v>0.1</v>
      </c>
    </row>
    <row r="395" spans="1:12" ht="16.5" customHeight="1" x14ac:dyDescent="0.3">
      <c r="A395" s="48">
        <v>46036</v>
      </c>
      <c r="B395" s="42" t="s">
        <v>34</v>
      </c>
      <c r="D395" s="42" t="s">
        <v>35</v>
      </c>
      <c r="E395" s="42" t="s">
        <v>209</v>
      </c>
      <c r="F395" s="44" t="s">
        <v>447</v>
      </c>
      <c r="I395" s="60"/>
      <c r="J395" s="49">
        <v>1</v>
      </c>
      <c r="K395" s="45">
        <v>0.1</v>
      </c>
    </row>
    <row r="396" spans="1:12" ht="16.5" customHeight="1" x14ac:dyDescent="0.3">
      <c r="A396" s="48">
        <v>46036</v>
      </c>
      <c r="B396" s="42" t="s">
        <v>34</v>
      </c>
      <c r="D396" s="42" t="s">
        <v>35</v>
      </c>
      <c r="E396" s="42" t="s">
        <v>209</v>
      </c>
      <c r="F396" s="44" t="s">
        <v>448</v>
      </c>
      <c r="I396" s="60"/>
      <c r="J396" s="49">
        <v>1</v>
      </c>
      <c r="K396" s="45">
        <v>0.4</v>
      </c>
    </row>
    <row r="397" spans="1:12" ht="16.5" customHeight="1" x14ac:dyDescent="0.3">
      <c r="A397" s="48">
        <v>46036</v>
      </c>
      <c r="B397" s="42" t="s">
        <v>34</v>
      </c>
      <c r="D397" s="42" t="s">
        <v>35</v>
      </c>
      <c r="E397" s="42" t="s">
        <v>209</v>
      </c>
      <c r="F397" s="44" t="s">
        <v>449</v>
      </c>
      <c r="I397" s="60"/>
      <c r="J397" s="49">
        <v>1</v>
      </c>
      <c r="K397" s="45">
        <v>0.6</v>
      </c>
    </row>
    <row r="398" spans="1:12" ht="16.5" customHeight="1" x14ac:dyDescent="0.3">
      <c r="A398" s="48">
        <v>46036</v>
      </c>
      <c r="B398" s="42" t="s">
        <v>34</v>
      </c>
      <c r="D398" s="42" t="s">
        <v>35</v>
      </c>
      <c r="E398" s="42" t="s">
        <v>209</v>
      </c>
      <c r="F398" s="44" t="s">
        <v>450</v>
      </c>
      <c r="I398" s="60"/>
      <c r="J398" s="49">
        <v>1</v>
      </c>
      <c r="K398" s="45">
        <v>1</v>
      </c>
    </row>
    <row r="399" spans="1:12" ht="16.5" customHeight="1" x14ac:dyDescent="0.3">
      <c r="A399" s="48">
        <v>46036</v>
      </c>
      <c r="B399" s="42" t="s">
        <v>34</v>
      </c>
      <c r="D399" s="42" t="s">
        <v>35</v>
      </c>
      <c r="E399" s="42" t="s">
        <v>209</v>
      </c>
      <c r="F399" s="44" t="s">
        <v>451</v>
      </c>
      <c r="G399" s="68"/>
      <c r="H399" s="68"/>
      <c r="I399" s="59"/>
      <c r="J399" s="49">
        <v>1</v>
      </c>
      <c r="K399" s="45">
        <v>0.2</v>
      </c>
    </row>
    <row r="400" spans="1:12" ht="16.5" customHeight="1" x14ac:dyDescent="0.3">
      <c r="A400" s="48">
        <v>46036</v>
      </c>
      <c r="B400" s="42" t="s">
        <v>34</v>
      </c>
      <c r="D400" s="42" t="s">
        <v>35</v>
      </c>
      <c r="E400" s="42" t="s">
        <v>209</v>
      </c>
      <c r="F400" s="44" t="s">
        <v>452</v>
      </c>
      <c r="I400" s="60"/>
      <c r="J400" s="49">
        <v>1</v>
      </c>
      <c r="K400" s="45">
        <v>0.3</v>
      </c>
    </row>
    <row r="401" spans="1:15" s="13" customFormat="1" ht="16.5" customHeight="1" x14ac:dyDescent="0.3">
      <c r="A401" s="48">
        <v>46036</v>
      </c>
      <c r="B401" s="42" t="s">
        <v>34</v>
      </c>
      <c r="C401" s="42"/>
      <c r="D401" s="42" t="s">
        <v>35</v>
      </c>
      <c r="E401" s="42" t="s">
        <v>36</v>
      </c>
      <c r="F401" s="44" t="s">
        <v>37</v>
      </c>
      <c r="G401" s="44"/>
      <c r="H401" s="44" t="s">
        <v>39</v>
      </c>
      <c r="I401" s="44" t="s">
        <v>46</v>
      </c>
      <c r="J401" s="49">
        <v>3</v>
      </c>
      <c r="K401" s="45">
        <v>187</v>
      </c>
      <c r="L401" s="45"/>
      <c r="M401" s="50"/>
      <c r="N401" s="50"/>
      <c r="O401" s="51">
        <v>275.7</v>
      </c>
    </row>
    <row r="402" spans="1:15" ht="16.5" customHeight="1" x14ac:dyDescent="0.3">
      <c r="A402" s="48">
        <v>46036</v>
      </c>
      <c r="B402" s="42" t="s">
        <v>34</v>
      </c>
      <c r="D402" s="42" t="s">
        <v>35</v>
      </c>
      <c r="E402" s="42" t="s">
        <v>40</v>
      </c>
      <c r="F402" s="44" t="s">
        <v>41</v>
      </c>
      <c r="H402" s="44" t="s">
        <v>39</v>
      </c>
      <c r="I402" s="44" t="s">
        <v>46</v>
      </c>
      <c r="J402" s="49">
        <v>3</v>
      </c>
      <c r="K402" s="46">
        <v>24.5</v>
      </c>
      <c r="L402" s="46"/>
    </row>
    <row r="403" spans="1:15" ht="16.5" customHeight="1" x14ac:dyDescent="0.3">
      <c r="A403" s="48">
        <v>46036</v>
      </c>
      <c r="B403" s="42" t="s">
        <v>34</v>
      </c>
      <c r="D403" s="42" t="s">
        <v>35</v>
      </c>
      <c r="E403" s="42" t="s">
        <v>40</v>
      </c>
      <c r="F403" s="44" t="s">
        <v>42</v>
      </c>
      <c r="H403" s="44" t="s">
        <v>39</v>
      </c>
      <c r="I403" s="44" t="s">
        <v>46</v>
      </c>
      <c r="J403" s="49">
        <v>3</v>
      </c>
      <c r="K403" s="45">
        <v>19.600000000000001</v>
      </c>
      <c r="M403" s="52"/>
    </row>
    <row r="404" spans="1:15" ht="16.5" customHeight="1" x14ac:dyDescent="0.3">
      <c r="A404" s="48">
        <v>46036</v>
      </c>
      <c r="B404" s="42" t="s">
        <v>34</v>
      </c>
      <c r="D404" s="42" t="s">
        <v>35</v>
      </c>
      <c r="E404" s="42" t="s">
        <v>40</v>
      </c>
      <c r="F404" s="44" t="s">
        <v>43</v>
      </c>
      <c r="H404" s="44" t="s">
        <v>39</v>
      </c>
      <c r="I404" s="44" t="s">
        <v>46</v>
      </c>
      <c r="J404" s="49">
        <v>3</v>
      </c>
      <c r="K404" s="45">
        <v>7.1</v>
      </c>
    </row>
    <row r="405" spans="1:15" ht="16.5" customHeight="1" x14ac:dyDescent="0.3">
      <c r="A405" s="48">
        <v>46036</v>
      </c>
      <c r="B405" s="42" t="s">
        <v>34</v>
      </c>
      <c r="D405" s="42" t="s">
        <v>35</v>
      </c>
      <c r="E405" s="42" t="s">
        <v>45</v>
      </c>
      <c r="F405" s="44" t="s">
        <v>44</v>
      </c>
      <c r="H405" s="44" t="s">
        <v>39</v>
      </c>
      <c r="I405" s="44" t="s">
        <v>46</v>
      </c>
      <c r="J405" s="49">
        <v>3</v>
      </c>
      <c r="K405" s="45">
        <v>62.4</v>
      </c>
    </row>
    <row r="406" spans="1:15" ht="16.5" customHeight="1" x14ac:dyDescent="0.3">
      <c r="A406" s="48">
        <v>46036</v>
      </c>
      <c r="B406" s="42" t="s">
        <v>34</v>
      </c>
      <c r="D406" s="42" t="s">
        <v>453</v>
      </c>
      <c r="E406" s="42" t="s">
        <v>52</v>
      </c>
      <c r="J406" s="53">
        <v>1</v>
      </c>
      <c r="K406" s="45">
        <v>12.7</v>
      </c>
      <c r="L406" s="12"/>
    </row>
    <row r="407" spans="1:15" ht="16.5" customHeight="1" x14ac:dyDescent="0.3">
      <c r="A407" s="48">
        <v>46036</v>
      </c>
      <c r="B407" s="42" t="s">
        <v>34</v>
      </c>
      <c r="D407" s="42" t="s">
        <v>453</v>
      </c>
      <c r="E407" s="42" t="s">
        <v>53</v>
      </c>
      <c r="J407" s="53">
        <v>1</v>
      </c>
      <c r="K407" s="45">
        <v>581.20000000000005</v>
      </c>
      <c r="L407" s="8"/>
    </row>
    <row r="408" spans="1:15" ht="16.5" customHeight="1" x14ac:dyDescent="0.3">
      <c r="A408" s="48">
        <v>46036</v>
      </c>
      <c r="B408" s="42" t="s">
        <v>34</v>
      </c>
      <c r="D408" s="42" t="s">
        <v>453</v>
      </c>
      <c r="E408" s="42" t="s">
        <v>54</v>
      </c>
      <c r="J408" s="53">
        <v>1</v>
      </c>
      <c r="K408" s="45">
        <v>47.4</v>
      </c>
      <c r="L408" s="8"/>
    </row>
    <row r="409" spans="1:15" ht="16.5" customHeight="1" x14ac:dyDescent="0.3">
      <c r="A409" s="48">
        <v>46036</v>
      </c>
      <c r="B409" s="42" t="s">
        <v>34</v>
      </c>
      <c r="D409" s="42" t="s">
        <v>453</v>
      </c>
      <c r="E409" s="42" t="s">
        <v>55</v>
      </c>
      <c r="J409" s="53">
        <v>1</v>
      </c>
      <c r="K409" s="45">
        <v>96.6</v>
      </c>
      <c r="L409" s="8"/>
    </row>
    <row r="410" spans="1:15" ht="16.5" customHeight="1" x14ac:dyDescent="0.3">
      <c r="A410" s="48">
        <v>46036</v>
      </c>
      <c r="B410" s="42" t="s">
        <v>34</v>
      </c>
      <c r="D410" s="42" t="s">
        <v>453</v>
      </c>
      <c r="E410" s="42" t="s">
        <v>56</v>
      </c>
      <c r="J410" s="53">
        <v>1</v>
      </c>
      <c r="K410" s="45">
        <v>4709.6000000000004</v>
      </c>
      <c r="L410" s="8"/>
    </row>
    <row r="411" spans="1:15" ht="16.5" customHeight="1" x14ac:dyDescent="0.3">
      <c r="A411" s="48">
        <v>46036</v>
      </c>
      <c r="B411" s="42" t="s">
        <v>34</v>
      </c>
      <c r="D411" s="42" t="s">
        <v>453</v>
      </c>
      <c r="E411" s="42" t="s">
        <v>57</v>
      </c>
      <c r="J411" s="53">
        <v>1</v>
      </c>
      <c r="K411" s="45">
        <v>1747</v>
      </c>
      <c r="L411" s="8"/>
    </row>
    <row r="412" spans="1:15" ht="16.5" customHeight="1" x14ac:dyDescent="0.3">
      <c r="A412" s="48">
        <v>46036</v>
      </c>
      <c r="B412" s="42" t="s">
        <v>34</v>
      </c>
      <c r="D412" s="42" t="s">
        <v>453</v>
      </c>
      <c r="E412" s="42" t="s">
        <v>58</v>
      </c>
      <c r="J412" s="53">
        <v>1</v>
      </c>
      <c r="K412" s="45">
        <v>1778.8</v>
      </c>
      <c r="L412" s="8"/>
    </row>
    <row r="413" spans="1:15" ht="16.5" customHeight="1" x14ac:dyDescent="0.3">
      <c r="A413" s="48">
        <v>46036</v>
      </c>
      <c r="B413" s="42" t="s">
        <v>34</v>
      </c>
      <c r="D413" s="42" t="s">
        <v>453</v>
      </c>
      <c r="E413" s="42" t="s">
        <v>59</v>
      </c>
      <c r="J413" s="53">
        <v>1</v>
      </c>
      <c r="K413" s="45">
        <v>338.4</v>
      </c>
      <c r="L413" s="8"/>
    </row>
    <row r="414" spans="1:15" ht="16.5" customHeight="1" x14ac:dyDescent="0.3">
      <c r="A414" s="48">
        <v>46036</v>
      </c>
      <c r="B414" s="42" t="s">
        <v>34</v>
      </c>
      <c r="D414" s="42" t="s">
        <v>453</v>
      </c>
      <c r="E414" s="42" t="s">
        <v>60</v>
      </c>
      <c r="J414" s="53">
        <v>1</v>
      </c>
      <c r="K414" s="45">
        <v>7.5</v>
      </c>
      <c r="L414" s="8"/>
    </row>
    <row r="415" spans="1:15" ht="16.5" customHeight="1" x14ac:dyDescent="0.3">
      <c r="A415" s="48">
        <v>46036</v>
      </c>
      <c r="B415" s="42" t="s">
        <v>34</v>
      </c>
      <c r="D415" s="42" t="s">
        <v>453</v>
      </c>
      <c r="E415" s="42" t="s">
        <v>61</v>
      </c>
      <c r="J415" s="53">
        <v>1</v>
      </c>
      <c r="K415" s="45">
        <v>12.6</v>
      </c>
      <c r="L415" s="8"/>
    </row>
    <row r="416" spans="1:15" ht="16.5" customHeight="1" x14ac:dyDescent="0.3">
      <c r="A416" s="48">
        <v>46036</v>
      </c>
      <c r="B416" s="42" t="s">
        <v>34</v>
      </c>
      <c r="D416" s="42" t="s">
        <v>453</v>
      </c>
      <c r="E416" s="42" t="s">
        <v>62</v>
      </c>
      <c r="J416" s="53">
        <v>1</v>
      </c>
      <c r="K416" s="45">
        <v>12.6</v>
      </c>
      <c r="L416" s="8"/>
    </row>
    <row r="417" spans="1:12" ht="16.5" customHeight="1" x14ac:dyDescent="0.3">
      <c r="A417" s="48">
        <v>46036</v>
      </c>
      <c r="B417" s="42" t="s">
        <v>34</v>
      </c>
      <c r="D417" s="42" t="s">
        <v>453</v>
      </c>
      <c r="E417" s="42" t="s">
        <v>63</v>
      </c>
      <c r="J417" s="53">
        <v>1</v>
      </c>
      <c r="K417" s="45">
        <v>12.6</v>
      </c>
      <c r="L417" s="8"/>
    </row>
    <row r="418" spans="1:12" ht="16.5" customHeight="1" x14ac:dyDescent="0.3">
      <c r="A418" s="48">
        <v>46036</v>
      </c>
      <c r="B418" s="42" t="s">
        <v>34</v>
      </c>
      <c r="D418" s="42" t="s">
        <v>453</v>
      </c>
      <c r="E418" s="42" t="s">
        <v>64</v>
      </c>
      <c r="J418" s="53">
        <v>1</v>
      </c>
      <c r="K418" s="45">
        <v>12.6</v>
      </c>
      <c r="L418" s="8"/>
    </row>
    <row r="419" spans="1:12" ht="16.5" customHeight="1" x14ac:dyDescent="0.3">
      <c r="A419" s="48">
        <v>46036</v>
      </c>
      <c r="B419" s="42" t="s">
        <v>34</v>
      </c>
      <c r="D419" s="42" t="s">
        <v>453</v>
      </c>
      <c r="E419" s="42" t="s">
        <v>65</v>
      </c>
      <c r="J419" s="53">
        <v>1</v>
      </c>
      <c r="K419" s="45">
        <v>2.5</v>
      </c>
      <c r="L419" s="8"/>
    </row>
    <row r="420" spans="1:12" ht="16.5" customHeight="1" x14ac:dyDescent="0.3">
      <c r="A420" s="48">
        <v>46036</v>
      </c>
      <c r="B420" s="42" t="s">
        <v>34</v>
      </c>
      <c r="D420" s="42" t="s">
        <v>453</v>
      </c>
      <c r="E420" s="42" t="s">
        <v>66</v>
      </c>
      <c r="J420" s="53">
        <v>1</v>
      </c>
      <c r="K420" s="45">
        <v>6.5</v>
      </c>
      <c r="L420" s="8"/>
    </row>
    <row r="421" spans="1:12" ht="16.5" customHeight="1" x14ac:dyDescent="0.3">
      <c r="A421" s="48">
        <v>46036</v>
      </c>
      <c r="B421" s="42" t="s">
        <v>34</v>
      </c>
      <c r="D421" s="42" t="s">
        <v>453</v>
      </c>
      <c r="E421" s="42" t="s">
        <v>67</v>
      </c>
      <c r="J421" s="53">
        <v>1</v>
      </c>
      <c r="K421" s="45">
        <v>3.8</v>
      </c>
      <c r="L421" s="8"/>
    </row>
    <row r="422" spans="1:12" ht="16.5" customHeight="1" x14ac:dyDescent="0.3">
      <c r="A422" s="48">
        <v>46036</v>
      </c>
      <c r="B422" s="42" t="s">
        <v>34</v>
      </c>
      <c r="D422" s="42" t="s">
        <v>453</v>
      </c>
      <c r="E422" s="42" t="s">
        <v>68</v>
      </c>
      <c r="J422" s="53">
        <v>1</v>
      </c>
      <c r="K422" s="45">
        <v>76</v>
      </c>
      <c r="L422" s="8"/>
    </row>
    <row r="423" spans="1:12" ht="16.5" customHeight="1" x14ac:dyDescent="0.3">
      <c r="A423" s="48">
        <v>46036</v>
      </c>
      <c r="B423" s="42" t="s">
        <v>34</v>
      </c>
      <c r="D423" s="42" t="s">
        <v>453</v>
      </c>
      <c r="E423" s="42" t="s">
        <v>69</v>
      </c>
      <c r="J423" s="53">
        <v>1</v>
      </c>
      <c r="K423" s="45">
        <v>14.1</v>
      </c>
      <c r="L423" s="8"/>
    </row>
    <row r="424" spans="1:12" ht="16.5" customHeight="1" x14ac:dyDescent="0.3">
      <c r="A424" s="48">
        <v>46036</v>
      </c>
      <c r="B424" s="42" t="s">
        <v>34</v>
      </c>
      <c r="D424" s="42" t="s">
        <v>453</v>
      </c>
      <c r="E424" s="42" t="s">
        <v>70</v>
      </c>
      <c r="J424" s="53">
        <v>1</v>
      </c>
      <c r="K424" s="45">
        <v>7.8</v>
      </c>
      <c r="L424" s="8"/>
    </row>
    <row r="425" spans="1:12" ht="16.5" customHeight="1" x14ac:dyDescent="0.3">
      <c r="A425" s="48">
        <v>46036</v>
      </c>
      <c r="B425" s="42" t="s">
        <v>34</v>
      </c>
      <c r="D425" s="42" t="s">
        <v>453</v>
      </c>
      <c r="E425" s="42" t="s">
        <v>71</v>
      </c>
      <c r="J425" s="53">
        <v>1</v>
      </c>
      <c r="K425" s="45">
        <v>192</v>
      </c>
      <c r="L425" s="8"/>
    </row>
    <row r="426" spans="1:12" ht="16.5" customHeight="1" x14ac:dyDescent="0.3">
      <c r="A426" s="48">
        <v>46036</v>
      </c>
      <c r="B426" s="42" t="s">
        <v>34</v>
      </c>
      <c r="D426" s="42" t="s">
        <v>453</v>
      </c>
      <c r="E426" s="42" t="s">
        <v>73</v>
      </c>
      <c r="J426" s="53">
        <v>1</v>
      </c>
      <c r="K426" s="45">
        <v>69</v>
      </c>
      <c r="L426" s="8"/>
    </row>
    <row r="427" spans="1:12" ht="16.5" customHeight="1" x14ac:dyDescent="0.3">
      <c r="A427" s="48">
        <v>46036</v>
      </c>
      <c r="B427" s="42" t="s">
        <v>34</v>
      </c>
      <c r="D427" s="42" t="s">
        <v>453</v>
      </c>
      <c r="E427" s="42" t="s">
        <v>719</v>
      </c>
      <c r="J427" s="49">
        <v>1</v>
      </c>
      <c r="K427" s="45">
        <v>263</v>
      </c>
      <c r="L427" s="8"/>
    </row>
    <row r="428" spans="1:12" ht="16.5" customHeight="1" x14ac:dyDescent="0.3">
      <c r="A428" s="48">
        <v>46036</v>
      </c>
      <c r="B428" s="42" t="s">
        <v>34</v>
      </c>
      <c r="D428" s="42" t="s">
        <v>453</v>
      </c>
      <c r="E428" s="42" t="s">
        <v>72</v>
      </c>
      <c r="F428" s="44" t="s">
        <v>47</v>
      </c>
      <c r="J428" s="49">
        <v>4</v>
      </c>
      <c r="K428" s="46">
        <v>30.1</v>
      </c>
      <c r="L428" s="46"/>
    </row>
    <row r="429" spans="1:12" ht="16.5" customHeight="1" x14ac:dyDescent="0.3">
      <c r="A429" s="48">
        <v>46036</v>
      </c>
      <c r="B429" s="42" t="s">
        <v>34</v>
      </c>
      <c r="D429" s="42" t="s">
        <v>453</v>
      </c>
      <c r="E429" s="42" t="s">
        <v>72</v>
      </c>
      <c r="F429" s="44" t="s">
        <v>48</v>
      </c>
      <c r="J429" s="49">
        <v>2</v>
      </c>
      <c r="K429" s="46">
        <v>11.9</v>
      </c>
      <c r="L429" s="46"/>
    </row>
    <row r="430" spans="1:12" ht="16.5" customHeight="1" x14ac:dyDescent="0.3">
      <c r="A430" s="48">
        <v>46036</v>
      </c>
      <c r="B430" s="42" t="s">
        <v>34</v>
      </c>
      <c r="D430" s="42" t="s">
        <v>453</v>
      </c>
      <c r="E430" s="42" t="s">
        <v>72</v>
      </c>
      <c r="F430" s="44" t="s">
        <v>49</v>
      </c>
      <c r="J430" s="49">
        <v>1</v>
      </c>
      <c r="K430" s="46">
        <v>11.1</v>
      </c>
      <c r="L430" s="46"/>
    </row>
    <row r="431" spans="1:12" ht="16.5" customHeight="1" x14ac:dyDescent="0.3">
      <c r="A431" s="48">
        <v>46036</v>
      </c>
      <c r="B431" s="42" t="s">
        <v>34</v>
      </c>
      <c r="D431" s="42" t="s">
        <v>453</v>
      </c>
      <c r="E431" s="42" t="s">
        <v>72</v>
      </c>
      <c r="F431" s="44" t="s">
        <v>50</v>
      </c>
      <c r="J431" s="49">
        <v>1</v>
      </c>
      <c r="K431" s="46">
        <v>14</v>
      </c>
      <c r="L431" s="46"/>
    </row>
    <row r="432" spans="1:12" ht="16.5" customHeight="1" x14ac:dyDescent="0.3">
      <c r="A432" s="48">
        <v>46036</v>
      </c>
      <c r="B432" s="42" t="s">
        <v>34</v>
      </c>
      <c r="D432" s="42" t="s">
        <v>453</v>
      </c>
      <c r="E432" s="42" t="s">
        <v>74</v>
      </c>
      <c r="F432" s="44" t="s">
        <v>576</v>
      </c>
      <c r="H432" s="44" t="s">
        <v>76</v>
      </c>
      <c r="J432" s="49">
        <v>1</v>
      </c>
      <c r="K432" s="45">
        <v>7.78</v>
      </c>
      <c r="L432" s="46"/>
    </row>
    <row r="433" spans="1:11" ht="16.5" customHeight="1" x14ac:dyDescent="0.3">
      <c r="A433" s="48">
        <v>46036</v>
      </c>
      <c r="B433" s="42" t="s">
        <v>34</v>
      </c>
      <c r="D433" s="42" t="s">
        <v>453</v>
      </c>
      <c r="E433" s="42" t="s">
        <v>74</v>
      </c>
      <c r="F433" s="44" t="s">
        <v>577</v>
      </c>
      <c r="H433" s="44" t="s">
        <v>76</v>
      </c>
      <c r="J433" s="49">
        <v>1</v>
      </c>
      <c r="K433" s="45">
        <v>7.78</v>
      </c>
    </row>
    <row r="434" spans="1:11" ht="16.5" customHeight="1" x14ac:dyDescent="0.3">
      <c r="A434" s="48">
        <v>46036</v>
      </c>
      <c r="B434" s="42" t="s">
        <v>34</v>
      </c>
      <c r="D434" s="42" t="s">
        <v>453</v>
      </c>
      <c r="E434" s="42" t="s">
        <v>74</v>
      </c>
      <c r="F434" s="44" t="s">
        <v>578</v>
      </c>
      <c r="H434" s="44" t="s">
        <v>76</v>
      </c>
      <c r="J434" s="49">
        <v>1</v>
      </c>
      <c r="K434" s="45">
        <v>6.02</v>
      </c>
    </row>
    <row r="435" spans="1:11" ht="16.5" customHeight="1" x14ac:dyDescent="0.3">
      <c r="A435" s="48">
        <v>46036</v>
      </c>
      <c r="B435" s="42" t="s">
        <v>34</v>
      </c>
      <c r="D435" s="42" t="s">
        <v>453</v>
      </c>
      <c r="E435" s="42" t="s">
        <v>74</v>
      </c>
      <c r="F435" s="44" t="s">
        <v>579</v>
      </c>
      <c r="H435" s="44" t="s">
        <v>76</v>
      </c>
      <c r="J435" s="49">
        <v>1</v>
      </c>
      <c r="K435" s="45">
        <v>11.19</v>
      </c>
    </row>
    <row r="436" spans="1:11" ht="16.5" customHeight="1" x14ac:dyDescent="0.3">
      <c r="A436" s="48">
        <v>46036</v>
      </c>
      <c r="B436" s="42" t="s">
        <v>34</v>
      </c>
      <c r="D436" s="42" t="s">
        <v>453</v>
      </c>
      <c r="E436" s="42" t="s">
        <v>74</v>
      </c>
      <c r="F436" s="44" t="s">
        <v>580</v>
      </c>
      <c r="H436" s="44" t="s">
        <v>76</v>
      </c>
      <c r="J436" s="49">
        <v>1</v>
      </c>
      <c r="K436" s="45">
        <v>1.17</v>
      </c>
    </row>
    <row r="437" spans="1:11" ht="16.5" customHeight="1" x14ac:dyDescent="0.3">
      <c r="A437" s="48">
        <v>46036</v>
      </c>
      <c r="B437" s="42" t="s">
        <v>34</v>
      </c>
      <c r="D437" s="42" t="s">
        <v>453</v>
      </c>
      <c r="E437" s="42" t="s">
        <v>74</v>
      </c>
      <c r="F437" s="44" t="s">
        <v>581</v>
      </c>
      <c r="H437" s="44" t="s">
        <v>76</v>
      </c>
      <c r="J437" s="49">
        <v>1</v>
      </c>
      <c r="K437" s="45">
        <v>2.39</v>
      </c>
    </row>
    <row r="438" spans="1:11" ht="16.5" customHeight="1" x14ac:dyDescent="0.3">
      <c r="A438" s="48">
        <v>46036</v>
      </c>
      <c r="B438" s="42" t="s">
        <v>34</v>
      </c>
      <c r="D438" s="42" t="s">
        <v>453</v>
      </c>
      <c r="E438" s="42" t="s">
        <v>74</v>
      </c>
      <c r="F438" s="44" t="s">
        <v>582</v>
      </c>
      <c r="H438" s="44" t="s">
        <v>76</v>
      </c>
      <c r="J438" s="49">
        <v>1</v>
      </c>
      <c r="K438" s="45">
        <v>1.1200000000000001</v>
      </c>
    </row>
    <row r="439" spans="1:11" ht="16.5" customHeight="1" x14ac:dyDescent="0.3">
      <c r="A439" s="48">
        <v>46036</v>
      </c>
      <c r="B439" s="42" t="s">
        <v>34</v>
      </c>
      <c r="D439" s="42" t="s">
        <v>453</v>
      </c>
      <c r="E439" s="42" t="s">
        <v>74</v>
      </c>
      <c r="F439" s="44" t="s">
        <v>583</v>
      </c>
      <c r="H439" s="44" t="s">
        <v>76</v>
      </c>
      <c r="J439" s="49">
        <v>1</v>
      </c>
      <c r="K439" s="45">
        <v>8.15</v>
      </c>
    </row>
    <row r="440" spans="1:11" ht="16.5" customHeight="1" x14ac:dyDescent="0.3">
      <c r="A440" s="48">
        <v>46036</v>
      </c>
      <c r="B440" s="42" t="s">
        <v>34</v>
      </c>
      <c r="D440" s="42" t="s">
        <v>453</v>
      </c>
      <c r="E440" s="42" t="s">
        <v>74</v>
      </c>
      <c r="F440" s="44" t="s">
        <v>455</v>
      </c>
      <c r="H440" s="44" t="s">
        <v>76</v>
      </c>
      <c r="J440" s="49">
        <v>1</v>
      </c>
      <c r="K440" s="45">
        <v>11.84</v>
      </c>
    </row>
    <row r="441" spans="1:11" ht="16.5" customHeight="1" x14ac:dyDescent="0.3">
      <c r="A441" s="48">
        <v>46036</v>
      </c>
      <c r="B441" s="42" t="s">
        <v>34</v>
      </c>
      <c r="D441" s="42" t="s">
        <v>453</v>
      </c>
      <c r="E441" s="42" t="s">
        <v>74</v>
      </c>
      <c r="F441" s="44" t="s">
        <v>456</v>
      </c>
      <c r="H441" s="44" t="s">
        <v>76</v>
      </c>
      <c r="J441" s="49">
        <v>1</v>
      </c>
      <c r="K441" s="45">
        <v>11.84</v>
      </c>
    </row>
    <row r="442" spans="1:11" ht="16.5" customHeight="1" x14ac:dyDescent="0.3">
      <c r="A442" s="48">
        <v>46036</v>
      </c>
      <c r="B442" s="42" t="s">
        <v>34</v>
      </c>
      <c r="D442" s="42" t="s">
        <v>453</v>
      </c>
      <c r="E442" s="42" t="s">
        <v>74</v>
      </c>
      <c r="F442" s="44" t="s">
        <v>457</v>
      </c>
      <c r="H442" s="44" t="s">
        <v>76</v>
      </c>
      <c r="J442" s="49">
        <v>1</v>
      </c>
      <c r="K442" s="45">
        <v>18.13</v>
      </c>
    </row>
    <row r="443" spans="1:11" ht="16.5" customHeight="1" x14ac:dyDescent="0.3">
      <c r="A443" s="48">
        <v>46036</v>
      </c>
      <c r="B443" s="42" t="s">
        <v>34</v>
      </c>
      <c r="D443" s="42" t="s">
        <v>453</v>
      </c>
      <c r="E443" s="42" t="s">
        <v>74</v>
      </c>
      <c r="F443" s="44" t="s">
        <v>458</v>
      </c>
      <c r="H443" s="44" t="s">
        <v>76</v>
      </c>
      <c r="J443" s="49">
        <v>1</v>
      </c>
      <c r="K443" s="45">
        <v>19.25</v>
      </c>
    </row>
    <row r="444" spans="1:11" ht="16.5" customHeight="1" x14ac:dyDescent="0.3">
      <c r="A444" s="48">
        <v>46036</v>
      </c>
      <c r="B444" s="42" t="s">
        <v>34</v>
      </c>
      <c r="D444" s="42" t="s">
        <v>453</v>
      </c>
      <c r="E444" s="42" t="s">
        <v>74</v>
      </c>
      <c r="F444" s="44" t="s">
        <v>459</v>
      </c>
      <c r="H444" s="44" t="s">
        <v>76</v>
      </c>
      <c r="J444" s="49">
        <v>1</v>
      </c>
      <c r="K444" s="45">
        <v>17.05</v>
      </c>
    </row>
    <row r="445" spans="1:11" ht="16.5" customHeight="1" x14ac:dyDescent="0.3">
      <c r="A445" s="48">
        <v>46036</v>
      </c>
      <c r="B445" s="42" t="s">
        <v>34</v>
      </c>
      <c r="D445" s="42" t="s">
        <v>453</v>
      </c>
      <c r="E445" s="42" t="s">
        <v>74</v>
      </c>
      <c r="F445" s="44" t="s">
        <v>460</v>
      </c>
      <c r="H445" s="44" t="s">
        <v>76</v>
      </c>
      <c r="J445" s="49">
        <v>1</v>
      </c>
      <c r="K445" s="45">
        <v>3.22</v>
      </c>
    </row>
    <row r="446" spans="1:11" ht="16.5" customHeight="1" x14ac:dyDescent="0.3">
      <c r="A446" s="48">
        <v>46036</v>
      </c>
      <c r="B446" s="42" t="s">
        <v>34</v>
      </c>
      <c r="D446" s="42" t="s">
        <v>453</v>
      </c>
      <c r="E446" s="42" t="s">
        <v>74</v>
      </c>
      <c r="F446" s="44" t="s">
        <v>461</v>
      </c>
      <c r="H446" s="44" t="s">
        <v>76</v>
      </c>
      <c r="J446" s="49">
        <v>1</v>
      </c>
      <c r="K446" s="45">
        <v>21.28</v>
      </c>
    </row>
    <row r="447" spans="1:11" ht="16.5" customHeight="1" x14ac:dyDescent="0.3">
      <c r="A447" s="48">
        <v>46036</v>
      </c>
      <c r="B447" s="42" t="s">
        <v>34</v>
      </c>
      <c r="D447" s="42" t="s">
        <v>453</v>
      </c>
      <c r="E447" s="42" t="s">
        <v>74</v>
      </c>
      <c r="F447" s="44" t="s">
        <v>462</v>
      </c>
      <c r="H447" s="44" t="s">
        <v>76</v>
      </c>
      <c r="J447" s="49">
        <v>1</v>
      </c>
      <c r="K447" s="45">
        <v>29.96</v>
      </c>
    </row>
    <row r="448" spans="1:11" ht="16.5" customHeight="1" x14ac:dyDescent="0.3">
      <c r="A448" s="48">
        <v>46036</v>
      </c>
      <c r="B448" s="42" t="s">
        <v>34</v>
      </c>
      <c r="D448" s="42" t="s">
        <v>453</v>
      </c>
      <c r="E448" s="42" t="s">
        <v>74</v>
      </c>
      <c r="F448" s="44" t="s">
        <v>463</v>
      </c>
      <c r="H448" s="44" t="s">
        <v>76</v>
      </c>
      <c r="J448" s="49">
        <v>1</v>
      </c>
      <c r="K448" s="45">
        <v>3.22</v>
      </c>
    </row>
    <row r="449" spans="1:12" ht="16.5" customHeight="1" x14ac:dyDescent="0.3">
      <c r="A449" s="48">
        <v>46036</v>
      </c>
      <c r="B449" s="42" t="s">
        <v>34</v>
      </c>
      <c r="D449" s="42" t="s">
        <v>453</v>
      </c>
      <c r="E449" s="42" t="s">
        <v>74</v>
      </c>
      <c r="F449" s="44" t="s">
        <v>464</v>
      </c>
      <c r="H449" s="44" t="s">
        <v>76</v>
      </c>
      <c r="J449" s="49">
        <v>1</v>
      </c>
      <c r="K449" s="45">
        <v>2.93</v>
      </c>
    </row>
    <row r="450" spans="1:12" ht="16.5" customHeight="1" x14ac:dyDescent="0.3">
      <c r="A450" s="48">
        <v>46036</v>
      </c>
      <c r="B450" s="42" t="s">
        <v>34</v>
      </c>
      <c r="D450" s="42" t="s">
        <v>453</v>
      </c>
      <c r="E450" s="42" t="s">
        <v>74</v>
      </c>
      <c r="F450" s="44" t="s">
        <v>465</v>
      </c>
      <c r="H450" s="44" t="s">
        <v>76</v>
      </c>
      <c r="J450" s="49">
        <v>1</v>
      </c>
      <c r="K450" s="45">
        <v>62.85</v>
      </c>
    </row>
    <row r="451" spans="1:12" ht="16.5" customHeight="1" x14ac:dyDescent="0.3">
      <c r="A451" s="48">
        <v>46036</v>
      </c>
      <c r="B451" s="42" t="s">
        <v>34</v>
      </c>
      <c r="D451" s="42" t="s">
        <v>453</v>
      </c>
      <c r="E451" s="42" t="s">
        <v>74</v>
      </c>
      <c r="F451" s="44" t="s">
        <v>466</v>
      </c>
      <c r="H451" s="44" t="s">
        <v>76</v>
      </c>
      <c r="J451" s="49">
        <v>1</v>
      </c>
      <c r="K451" s="45">
        <v>8.9</v>
      </c>
    </row>
    <row r="452" spans="1:12" ht="16.5" customHeight="1" x14ac:dyDescent="0.3">
      <c r="A452" s="48">
        <v>46036</v>
      </c>
      <c r="B452" s="42" t="s">
        <v>34</v>
      </c>
      <c r="D452" s="42" t="s">
        <v>453</v>
      </c>
      <c r="E452" s="42" t="s">
        <v>74</v>
      </c>
      <c r="F452" s="44" t="s">
        <v>467</v>
      </c>
      <c r="H452" s="44" t="s">
        <v>76</v>
      </c>
      <c r="J452" s="49">
        <v>1</v>
      </c>
      <c r="K452" s="45">
        <v>6.21</v>
      </c>
    </row>
    <row r="453" spans="1:12" ht="16.5" customHeight="1" x14ac:dyDescent="0.3">
      <c r="A453" s="48">
        <v>46036</v>
      </c>
      <c r="B453" s="42" t="s">
        <v>34</v>
      </c>
      <c r="D453" s="42" t="s">
        <v>453</v>
      </c>
      <c r="E453" s="42" t="s">
        <v>74</v>
      </c>
      <c r="F453" s="44" t="s">
        <v>468</v>
      </c>
      <c r="H453" s="44" t="s">
        <v>76</v>
      </c>
      <c r="J453" s="49">
        <v>1</v>
      </c>
      <c r="K453" s="45">
        <v>6.21</v>
      </c>
    </row>
    <row r="454" spans="1:12" ht="16.5" customHeight="1" x14ac:dyDescent="0.3">
      <c r="A454" s="48">
        <v>46036</v>
      </c>
      <c r="B454" s="42" t="s">
        <v>34</v>
      </c>
      <c r="D454" s="42" t="s">
        <v>453</v>
      </c>
      <c r="E454" s="42" t="s">
        <v>74</v>
      </c>
      <c r="F454" s="44" t="s">
        <v>469</v>
      </c>
      <c r="H454" s="44" t="s">
        <v>76</v>
      </c>
      <c r="J454" s="49">
        <v>1</v>
      </c>
      <c r="K454" s="45">
        <v>6.21</v>
      </c>
    </row>
    <row r="455" spans="1:12" ht="16.5" customHeight="1" x14ac:dyDescent="0.3">
      <c r="A455" s="48">
        <v>46036</v>
      </c>
      <c r="B455" s="42" t="s">
        <v>34</v>
      </c>
      <c r="D455" s="42" t="s">
        <v>453</v>
      </c>
      <c r="E455" s="42" t="s">
        <v>74</v>
      </c>
      <c r="F455" s="44" t="s">
        <v>470</v>
      </c>
      <c r="H455" s="44" t="s">
        <v>76</v>
      </c>
      <c r="J455" s="49">
        <v>1</v>
      </c>
      <c r="K455" s="45">
        <v>5.69</v>
      </c>
    </row>
    <row r="456" spans="1:12" ht="16.5" customHeight="1" x14ac:dyDescent="0.3">
      <c r="A456" s="48">
        <v>46036</v>
      </c>
      <c r="B456" s="42" t="s">
        <v>34</v>
      </c>
      <c r="D456" s="42" t="s">
        <v>453</v>
      </c>
      <c r="E456" s="42" t="s">
        <v>74</v>
      </c>
      <c r="F456" s="44" t="s">
        <v>471</v>
      </c>
      <c r="H456" s="44" t="s">
        <v>76</v>
      </c>
      <c r="J456" s="49">
        <v>1</v>
      </c>
      <c r="K456" s="45">
        <v>1.02</v>
      </c>
    </row>
    <row r="457" spans="1:12" ht="16.5" customHeight="1" x14ac:dyDescent="0.3">
      <c r="A457" s="48">
        <v>46036</v>
      </c>
      <c r="B457" s="42" t="s">
        <v>34</v>
      </c>
      <c r="D457" s="42" t="s">
        <v>453</v>
      </c>
      <c r="E457" s="42" t="s">
        <v>74</v>
      </c>
      <c r="F457" s="44" t="s">
        <v>472</v>
      </c>
      <c r="H457" s="44" t="s">
        <v>76</v>
      </c>
      <c r="J457" s="49">
        <v>1</v>
      </c>
      <c r="K457" s="45">
        <v>0</v>
      </c>
      <c r="L457" s="45" t="s">
        <v>564</v>
      </c>
    </row>
    <row r="458" spans="1:12" ht="16.5" customHeight="1" x14ac:dyDescent="0.3">
      <c r="A458" s="48">
        <v>46036</v>
      </c>
      <c r="B458" s="42" t="s">
        <v>34</v>
      </c>
      <c r="D458" s="42" t="s">
        <v>453</v>
      </c>
      <c r="E458" s="42" t="s">
        <v>74</v>
      </c>
      <c r="F458" s="44" t="s">
        <v>473</v>
      </c>
      <c r="H458" s="44" t="s">
        <v>76</v>
      </c>
      <c r="J458" s="49">
        <v>1</v>
      </c>
      <c r="K458" s="45">
        <v>0</v>
      </c>
      <c r="L458" s="45" t="s">
        <v>564</v>
      </c>
    </row>
    <row r="459" spans="1:12" ht="16.5" customHeight="1" x14ac:dyDescent="0.3">
      <c r="A459" s="48">
        <v>46036</v>
      </c>
      <c r="B459" s="42" t="s">
        <v>34</v>
      </c>
      <c r="D459" s="42" t="s">
        <v>453</v>
      </c>
      <c r="E459" s="42" t="s">
        <v>74</v>
      </c>
      <c r="F459" s="44" t="s">
        <v>474</v>
      </c>
      <c r="H459" s="44" t="s">
        <v>76</v>
      </c>
      <c r="J459" s="49">
        <v>1</v>
      </c>
      <c r="K459" s="45">
        <v>1.18</v>
      </c>
    </row>
    <row r="460" spans="1:12" ht="16.5" customHeight="1" x14ac:dyDescent="0.3">
      <c r="A460" s="48">
        <v>46036</v>
      </c>
      <c r="B460" s="42" t="s">
        <v>34</v>
      </c>
      <c r="D460" s="42" t="s">
        <v>453</v>
      </c>
      <c r="E460" s="42" t="s">
        <v>74</v>
      </c>
      <c r="F460" s="44" t="s">
        <v>475</v>
      </c>
      <c r="H460" s="44" t="s">
        <v>76</v>
      </c>
      <c r="J460" s="49">
        <v>1</v>
      </c>
      <c r="K460" s="45">
        <v>4.17</v>
      </c>
    </row>
    <row r="461" spans="1:12" ht="16.5" customHeight="1" x14ac:dyDescent="0.3">
      <c r="A461" s="48">
        <v>46036</v>
      </c>
      <c r="B461" s="42" t="s">
        <v>34</v>
      </c>
      <c r="D461" s="42" t="s">
        <v>453</v>
      </c>
      <c r="E461" s="42" t="s">
        <v>74</v>
      </c>
      <c r="F461" s="44" t="s">
        <v>476</v>
      </c>
      <c r="H461" s="44" t="s">
        <v>76</v>
      </c>
      <c r="J461" s="49">
        <v>1</v>
      </c>
      <c r="K461" s="45">
        <v>16.05</v>
      </c>
    </row>
    <row r="462" spans="1:12" ht="16.5" customHeight="1" x14ac:dyDescent="0.3">
      <c r="A462" s="48">
        <v>46036</v>
      </c>
      <c r="B462" s="42" t="s">
        <v>34</v>
      </c>
      <c r="D462" s="42" t="s">
        <v>453</v>
      </c>
      <c r="E462" s="42" t="s">
        <v>74</v>
      </c>
      <c r="F462" s="44" t="s">
        <v>477</v>
      </c>
      <c r="H462" s="44" t="s">
        <v>76</v>
      </c>
      <c r="J462" s="49">
        <v>1</v>
      </c>
      <c r="K462" s="45">
        <v>26</v>
      </c>
    </row>
    <row r="463" spans="1:12" ht="16.5" customHeight="1" x14ac:dyDescent="0.3">
      <c r="A463" s="48">
        <v>46036</v>
      </c>
      <c r="B463" s="42" t="s">
        <v>34</v>
      </c>
      <c r="D463" s="42" t="s">
        <v>453</v>
      </c>
      <c r="E463" s="42" t="s">
        <v>74</v>
      </c>
      <c r="F463" s="44" t="s">
        <v>478</v>
      </c>
      <c r="H463" s="44" t="s">
        <v>76</v>
      </c>
      <c r="J463" s="49">
        <v>1</v>
      </c>
      <c r="K463" s="45">
        <v>1.36</v>
      </c>
    </row>
    <row r="464" spans="1:12" ht="16.5" customHeight="1" x14ac:dyDescent="0.3">
      <c r="A464" s="48">
        <v>46036</v>
      </c>
      <c r="B464" s="42" t="s">
        <v>34</v>
      </c>
      <c r="D464" s="42" t="s">
        <v>453</v>
      </c>
      <c r="E464" s="42" t="s">
        <v>74</v>
      </c>
      <c r="F464" s="44" t="s">
        <v>479</v>
      </c>
      <c r="H464" s="44" t="s">
        <v>76</v>
      </c>
      <c r="J464" s="49">
        <v>1</v>
      </c>
      <c r="K464" s="45">
        <v>12.79</v>
      </c>
    </row>
    <row r="465" spans="1:12" ht="16.5" customHeight="1" x14ac:dyDescent="0.3">
      <c r="A465" s="48">
        <v>46036</v>
      </c>
      <c r="B465" s="42" t="s">
        <v>34</v>
      </c>
      <c r="D465" s="42" t="s">
        <v>453</v>
      </c>
      <c r="E465" s="42" t="s">
        <v>74</v>
      </c>
      <c r="F465" s="44" t="s">
        <v>480</v>
      </c>
      <c r="H465" s="44" t="s">
        <v>76</v>
      </c>
      <c r="J465" s="49">
        <v>1</v>
      </c>
      <c r="K465" s="45">
        <v>1.99</v>
      </c>
    </row>
    <row r="466" spans="1:12" ht="16.5" customHeight="1" x14ac:dyDescent="0.3">
      <c r="A466" s="48">
        <v>46036</v>
      </c>
      <c r="B466" s="42" t="s">
        <v>34</v>
      </c>
      <c r="D466" s="42" t="s">
        <v>453</v>
      </c>
      <c r="E466" s="42" t="s">
        <v>74</v>
      </c>
      <c r="F466" s="44" t="s">
        <v>481</v>
      </c>
      <c r="H466" s="44" t="s">
        <v>76</v>
      </c>
      <c r="J466" s="49">
        <v>1</v>
      </c>
      <c r="K466" s="45">
        <v>0.53</v>
      </c>
    </row>
    <row r="467" spans="1:12" ht="16.5" customHeight="1" x14ac:dyDescent="0.3">
      <c r="A467" s="48">
        <v>46036</v>
      </c>
      <c r="B467" s="42" t="s">
        <v>34</v>
      </c>
      <c r="D467" s="42" t="s">
        <v>453</v>
      </c>
      <c r="E467" s="42" t="s">
        <v>74</v>
      </c>
      <c r="F467" s="44" t="s">
        <v>482</v>
      </c>
      <c r="H467" s="44" t="s">
        <v>76</v>
      </c>
      <c r="J467" s="49">
        <v>1</v>
      </c>
      <c r="K467" s="45">
        <v>7.04</v>
      </c>
    </row>
    <row r="468" spans="1:12" ht="16.5" customHeight="1" x14ac:dyDescent="0.3">
      <c r="A468" s="48">
        <v>46036</v>
      </c>
      <c r="B468" s="42" t="s">
        <v>34</v>
      </c>
      <c r="D468" s="42" t="s">
        <v>453</v>
      </c>
      <c r="E468" s="42" t="s">
        <v>74</v>
      </c>
      <c r="F468" s="44" t="s">
        <v>483</v>
      </c>
      <c r="H468" s="44" t="s">
        <v>76</v>
      </c>
      <c r="J468" s="49">
        <v>1</v>
      </c>
      <c r="K468" s="45">
        <v>1.99</v>
      </c>
    </row>
    <row r="469" spans="1:12" ht="16.5" customHeight="1" x14ac:dyDescent="0.3">
      <c r="A469" s="48">
        <v>46036</v>
      </c>
      <c r="B469" s="42" t="s">
        <v>34</v>
      </c>
      <c r="D469" s="42" t="s">
        <v>453</v>
      </c>
      <c r="E469" s="42" t="s">
        <v>74</v>
      </c>
      <c r="F469" s="44" t="s">
        <v>484</v>
      </c>
      <c r="H469" s="44" t="s">
        <v>76</v>
      </c>
      <c r="J469" s="49">
        <v>1</v>
      </c>
      <c r="K469" s="45">
        <v>0</v>
      </c>
      <c r="L469" s="45" t="s">
        <v>565</v>
      </c>
    </row>
    <row r="470" spans="1:12" ht="16.5" customHeight="1" x14ac:dyDescent="0.3">
      <c r="A470" s="48">
        <v>46036</v>
      </c>
      <c r="B470" s="42" t="s">
        <v>34</v>
      </c>
      <c r="D470" s="42" t="s">
        <v>453</v>
      </c>
      <c r="E470" s="42" t="s">
        <v>74</v>
      </c>
      <c r="F470" s="44" t="s">
        <v>485</v>
      </c>
      <c r="H470" s="44" t="s">
        <v>76</v>
      </c>
      <c r="J470" s="49">
        <v>1</v>
      </c>
      <c r="K470" s="45">
        <v>0</v>
      </c>
      <c r="L470" s="45" t="s">
        <v>566</v>
      </c>
    </row>
    <row r="471" spans="1:12" ht="16.5" customHeight="1" x14ac:dyDescent="0.3">
      <c r="A471" s="48">
        <v>46036</v>
      </c>
      <c r="B471" s="42" t="s">
        <v>34</v>
      </c>
      <c r="D471" s="42" t="s">
        <v>453</v>
      </c>
      <c r="E471" s="42" t="s">
        <v>74</v>
      </c>
      <c r="F471" s="44" t="s">
        <v>486</v>
      </c>
      <c r="H471" s="44" t="s">
        <v>76</v>
      </c>
      <c r="J471" s="49">
        <v>1</v>
      </c>
      <c r="K471" s="45">
        <v>8.3800000000000008</v>
      </c>
    </row>
    <row r="472" spans="1:12" ht="16.5" customHeight="1" x14ac:dyDescent="0.3">
      <c r="A472" s="48">
        <v>46036</v>
      </c>
      <c r="B472" s="42" t="s">
        <v>34</v>
      </c>
      <c r="D472" s="42" t="s">
        <v>453</v>
      </c>
      <c r="E472" s="42" t="s">
        <v>74</v>
      </c>
      <c r="F472" s="44" t="s">
        <v>487</v>
      </c>
      <c r="H472" s="44" t="s">
        <v>76</v>
      </c>
      <c r="J472" s="49">
        <v>1</v>
      </c>
      <c r="K472" s="45">
        <v>11.1</v>
      </c>
    </row>
    <row r="473" spans="1:12" ht="16.5" customHeight="1" x14ac:dyDescent="0.3">
      <c r="A473" s="48">
        <v>46036</v>
      </c>
      <c r="B473" s="42" t="s">
        <v>34</v>
      </c>
      <c r="D473" s="42" t="s">
        <v>453</v>
      </c>
      <c r="E473" s="42" t="s">
        <v>74</v>
      </c>
      <c r="F473" s="44" t="s">
        <v>488</v>
      </c>
      <c r="H473" s="44" t="s">
        <v>76</v>
      </c>
      <c r="J473" s="49">
        <v>1</v>
      </c>
      <c r="K473" s="45">
        <v>0</v>
      </c>
      <c r="L473" s="45" t="s">
        <v>567</v>
      </c>
    </row>
    <row r="474" spans="1:12" ht="16.5" customHeight="1" x14ac:dyDescent="0.3">
      <c r="A474" s="48">
        <v>46036</v>
      </c>
      <c r="B474" s="42" t="s">
        <v>34</v>
      </c>
      <c r="D474" s="42" t="s">
        <v>453</v>
      </c>
      <c r="E474" s="42" t="s">
        <v>74</v>
      </c>
      <c r="F474" s="44" t="s">
        <v>489</v>
      </c>
      <c r="H474" s="44" t="s">
        <v>76</v>
      </c>
      <c r="J474" s="49">
        <v>1</v>
      </c>
      <c r="K474" s="45">
        <v>2.2400000000000002</v>
      </c>
    </row>
    <row r="475" spans="1:12" ht="16.5" customHeight="1" x14ac:dyDescent="0.3">
      <c r="A475" s="48">
        <v>46036</v>
      </c>
      <c r="B475" s="42" t="s">
        <v>34</v>
      </c>
      <c r="D475" s="42" t="s">
        <v>453</v>
      </c>
      <c r="E475" s="42" t="s">
        <v>74</v>
      </c>
      <c r="F475" s="44" t="s">
        <v>490</v>
      </c>
      <c r="H475" s="44" t="s">
        <v>76</v>
      </c>
      <c r="J475" s="49">
        <v>1</v>
      </c>
      <c r="K475" s="45">
        <v>1.28</v>
      </c>
    </row>
    <row r="476" spans="1:12" ht="16.5" customHeight="1" x14ac:dyDescent="0.3">
      <c r="A476" s="48">
        <v>46036</v>
      </c>
      <c r="B476" s="42" t="s">
        <v>34</v>
      </c>
      <c r="D476" s="42" t="s">
        <v>453</v>
      </c>
      <c r="E476" s="42" t="s">
        <v>74</v>
      </c>
      <c r="F476" s="44" t="s">
        <v>491</v>
      </c>
      <c r="H476" s="44" t="s">
        <v>76</v>
      </c>
      <c r="J476" s="49">
        <v>1</v>
      </c>
      <c r="K476" s="45">
        <v>0</v>
      </c>
      <c r="L476" s="45" t="s">
        <v>568</v>
      </c>
    </row>
    <row r="477" spans="1:12" ht="16.5" customHeight="1" x14ac:dyDescent="0.3">
      <c r="A477" s="48">
        <v>46036</v>
      </c>
      <c r="B477" s="42" t="s">
        <v>34</v>
      </c>
      <c r="D477" s="42" t="s">
        <v>453</v>
      </c>
      <c r="E477" s="42" t="s">
        <v>74</v>
      </c>
      <c r="F477" s="44" t="s">
        <v>492</v>
      </c>
      <c r="H477" s="44" t="s">
        <v>76</v>
      </c>
      <c r="J477" s="49">
        <v>1</v>
      </c>
      <c r="K477" s="45">
        <v>1.48</v>
      </c>
    </row>
    <row r="478" spans="1:12" ht="16.5" customHeight="1" x14ac:dyDescent="0.3">
      <c r="A478" s="48">
        <v>46036</v>
      </c>
      <c r="B478" s="42" t="s">
        <v>34</v>
      </c>
      <c r="D478" s="42" t="s">
        <v>453</v>
      </c>
      <c r="E478" s="42" t="s">
        <v>74</v>
      </c>
      <c r="F478" s="44" t="s">
        <v>493</v>
      </c>
      <c r="H478" s="44" t="s">
        <v>76</v>
      </c>
      <c r="J478" s="49">
        <v>1</v>
      </c>
      <c r="K478" s="45">
        <v>152.47999999999999</v>
      </c>
    </row>
    <row r="479" spans="1:12" ht="16.5" customHeight="1" x14ac:dyDescent="0.3">
      <c r="A479" s="48">
        <v>46036</v>
      </c>
      <c r="B479" s="42" t="s">
        <v>34</v>
      </c>
      <c r="D479" s="42" t="s">
        <v>453</v>
      </c>
      <c r="E479" s="42" t="s">
        <v>74</v>
      </c>
      <c r="F479" s="44" t="s">
        <v>494</v>
      </c>
      <c r="H479" s="44" t="s">
        <v>76</v>
      </c>
      <c r="J479" s="49">
        <v>1</v>
      </c>
      <c r="K479" s="45">
        <v>0.88</v>
      </c>
    </row>
    <row r="480" spans="1:12" ht="16.5" customHeight="1" x14ac:dyDescent="0.3">
      <c r="A480" s="48">
        <v>46036</v>
      </c>
      <c r="B480" s="42" t="s">
        <v>34</v>
      </c>
      <c r="D480" s="42" t="s">
        <v>453</v>
      </c>
      <c r="E480" s="42" t="s">
        <v>74</v>
      </c>
      <c r="F480" s="44" t="s">
        <v>495</v>
      </c>
      <c r="H480" s="44" t="s">
        <v>76</v>
      </c>
      <c r="J480" s="49">
        <v>1</v>
      </c>
      <c r="K480" s="45">
        <v>0</v>
      </c>
      <c r="L480" s="45" t="s">
        <v>568</v>
      </c>
    </row>
    <row r="481" spans="1:14" ht="16.5" customHeight="1" x14ac:dyDescent="0.3">
      <c r="A481" s="48">
        <v>46036</v>
      </c>
      <c r="B481" s="42" t="s">
        <v>34</v>
      </c>
      <c r="D481" s="42" t="s">
        <v>453</v>
      </c>
      <c r="E481" s="42" t="s">
        <v>74</v>
      </c>
      <c r="F481" s="44" t="s">
        <v>496</v>
      </c>
      <c r="H481" s="44" t="s">
        <v>76</v>
      </c>
      <c r="J481" s="49">
        <v>1</v>
      </c>
      <c r="K481" s="45">
        <v>0.64</v>
      </c>
    </row>
    <row r="482" spans="1:14" ht="16.5" customHeight="1" x14ac:dyDescent="0.3">
      <c r="A482" s="48">
        <v>46036</v>
      </c>
      <c r="B482" s="42" t="s">
        <v>34</v>
      </c>
      <c r="D482" s="42" t="s">
        <v>453</v>
      </c>
      <c r="E482" s="42" t="s">
        <v>74</v>
      </c>
      <c r="F482" s="44" t="s">
        <v>497</v>
      </c>
      <c r="H482" s="44" t="s">
        <v>76</v>
      </c>
      <c r="J482" s="49">
        <v>1</v>
      </c>
      <c r="K482" s="45">
        <v>0</v>
      </c>
      <c r="L482" s="45" t="s">
        <v>568</v>
      </c>
    </row>
    <row r="483" spans="1:14" ht="16.5" customHeight="1" x14ac:dyDescent="0.3">
      <c r="A483" s="48">
        <v>46036</v>
      </c>
      <c r="B483" s="42" t="s">
        <v>34</v>
      </c>
      <c r="D483" s="42" t="s">
        <v>453</v>
      </c>
      <c r="E483" s="42" t="s">
        <v>74</v>
      </c>
      <c r="F483" s="44" t="s">
        <v>498</v>
      </c>
      <c r="H483" s="44" t="s">
        <v>76</v>
      </c>
      <c r="J483" s="49">
        <v>1</v>
      </c>
      <c r="K483" s="45">
        <v>5.33</v>
      </c>
    </row>
    <row r="484" spans="1:14" ht="16.5" customHeight="1" x14ac:dyDescent="0.3">
      <c r="A484" s="48">
        <v>46036</v>
      </c>
      <c r="B484" s="42" t="s">
        <v>34</v>
      </c>
      <c r="D484" s="42" t="s">
        <v>453</v>
      </c>
      <c r="E484" s="42" t="s">
        <v>74</v>
      </c>
      <c r="F484" s="44" t="s">
        <v>499</v>
      </c>
      <c r="H484" s="44" t="s">
        <v>76</v>
      </c>
      <c r="J484" s="49">
        <v>1</v>
      </c>
      <c r="K484" s="45">
        <v>0</v>
      </c>
      <c r="L484" s="45" t="s">
        <v>569</v>
      </c>
    </row>
    <row r="485" spans="1:14" ht="16.5" customHeight="1" x14ac:dyDescent="0.3">
      <c r="A485" s="48">
        <v>46036</v>
      </c>
      <c r="B485" s="42" t="s">
        <v>34</v>
      </c>
      <c r="D485" s="42" t="s">
        <v>453</v>
      </c>
      <c r="E485" s="42" t="s">
        <v>74</v>
      </c>
      <c r="F485" s="44" t="s">
        <v>500</v>
      </c>
      <c r="H485" s="44" t="s">
        <v>76</v>
      </c>
      <c r="J485" s="49">
        <v>1</v>
      </c>
      <c r="K485" s="45">
        <v>0.94</v>
      </c>
    </row>
    <row r="486" spans="1:14" ht="16.5" customHeight="1" x14ac:dyDescent="0.3">
      <c r="A486" s="48">
        <v>46036</v>
      </c>
      <c r="B486" s="42" t="s">
        <v>34</v>
      </c>
      <c r="D486" s="42" t="s">
        <v>453</v>
      </c>
      <c r="E486" s="42" t="s">
        <v>74</v>
      </c>
      <c r="F486" s="44" t="s">
        <v>501</v>
      </c>
      <c r="H486" s="44" t="s">
        <v>76</v>
      </c>
      <c r="J486" s="49">
        <v>1</v>
      </c>
      <c r="K486" s="45">
        <v>2.17</v>
      </c>
      <c r="M486" s="58"/>
      <c r="N486" s="58"/>
    </row>
    <row r="487" spans="1:14" ht="16.5" customHeight="1" x14ac:dyDescent="0.3">
      <c r="A487" s="48">
        <v>46036</v>
      </c>
      <c r="B487" s="42" t="s">
        <v>34</v>
      </c>
      <c r="D487" s="42" t="s">
        <v>453</v>
      </c>
      <c r="E487" s="42" t="s">
        <v>74</v>
      </c>
      <c r="F487" s="44" t="s">
        <v>502</v>
      </c>
      <c r="H487" s="44" t="s">
        <v>76</v>
      </c>
      <c r="J487" s="49">
        <v>1</v>
      </c>
      <c r="K487" s="45">
        <v>2.17</v>
      </c>
      <c r="M487" s="58"/>
      <c r="N487" s="58"/>
    </row>
    <row r="488" spans="1:14" ht="16.5" customHeight="1" x14ac:dyDescent="0.3">
      <c r="A488" s="48">
        <v>46036</v>
      </c>
      <c r="B488" s="42" t="s">
        <v>34</v>
      </c>
      <c r="D488" s="42" t="s">
        <v>453</v>
      </c>
      <c r="E488" s="42" t="s">
        <v>74</v>
      </c>
      <c r="F488" s="44" t="s">
        <v>503</v>
      </c>
      <c r="H488" s="44" t="s">
        <v>76</v>
      </c>
      <c r="J488" s="49">
        <v>1</v>
      </c>
      <c r="K488" s="45">
        <v>1.6</v>
      </c>
      <c r="M488" s="58"/>
      <c r="N488" s="58"/>
    </row>
    <row r="489" spans="1:14" ht="16.5" customHeight="1" x14ac:dyDescent="0.3">
      <c r="A489" s="48">
        <v>46036</v>
      </c>
      <c r="B489" s="42" t="s">
        <v>34</v>
      </c>
      <c r="D489" s="42" t="s">
        <v>453</v>
      </c>
      <c r="E489" s="42" t="s">
        <v>74</v>
      </c>
      <c r="F489" s="44" t="s">
        <v>504</v>
      </c>
      <c r="H489" s="44" t="s">
        <v>76</v>
      </c>
      <c r="J489" s="49">
        <v>1</v>
      </c>
      <c r="K489" s="45">
        <v>1.72</v>
      </c>
    </row>
    <row r="490" spans="1:14" ht="16.5" customHeight="1" x14ac:dyDescent="0.3">
      <c r="A490" s="48">
        <v>46036</v>
      </c>
      <c r="B490" s="42" t="s">
        <v>34</v>
      </c>
      <c r="D490" s="42" t="s">
        <v>453</v>
      </c>
      <c r="E490" s="42" t="s">
        <v>74</v>
      </c>
      <c r="F490" s="44" t="s">
        <v>505</v>
      </c>
      <c r="H490" s="44" t="s">
        <v>76</v>
      </c>
      <c r="J490" s="49">
        <v>1</v>
      </c>
      <c r="K490" s="45">
        <v>1.1100000000000001</v>
      </c>
      <c r="M490" s="58"/>
      <c r="N490" s="58"/>
    </row>
    <row r="491" spans="1:14" ht="16.5" customHeight="1" x14ac:dyDescent="0.3">
      <c r="A491" s="48">
        <v>46036</v>
      </c>
      <c r="B491" s="42" t="s">
        <v>34</v>
      </c>
      <c r="D491" s="42" t="s">
        <v>453</v>
      </c>
      <c r="E491" s="42" t="s">
        <v>74</v>
      </c>
      <c r="F491" s="44" t="s">
        <v>506</v>
      </c>
      <c r="H491" s="44" t="s">
        <v>76</v>
      </c>
      <c r="J491" s="49">
        <v>1</v>
      </c>
      <c r="K491" s="45">
        <v>0.78</v>
      </c>
      <c r="M491" s="58"/>
      <c r="N491" s="58"/>
    </row>
    <row r="492" spans="1:14" ht="16.5" customHeight="1" x14ac:dyDescent="0.3">
      <c r="A492" s="48">
        <v>46036</v>
      </c>
      <c r="B492" s="42" t="s">
        <v>34</v>
      </c>
      <c r="D492" s="42" t="s">
        <v>453</v>
      </c>
      <c r="E492" s="42" t="s">
        <v>74</v>
      </c>
      <c r="F492" s="44" t="s">
        <v>507</v>
      </c>
      <c r="H492" s="44" t="s">
        <v>76</v>
      </c>
      <c r="J492" s="49">
        <v>1</v>
      </c>
      <c r="K492" s="45">
        <v>2.39</v>
      </c>
      <c r="M492" s="58"/>
      <c r="N492" s="58"/>
    </row>
    <row r="493" spans="1:14" ht="16.5" customHeight="1" x14ac:dyDescent="0.3">
      <c r="A493" s="48">
        <v>46036</v>
      </c>
      <c r="B493" s="42" t="s">
        <v>34</v>
      </c>
      <c r="D493" s="42" t="s">
        <v>453</v>
      </c>
      <c r="E493" s="42" t="s">
        <v>74</v>
      </c>
      <c r="F493" s="44" t="s">
        <v>508</v>
      </c>
      <c r="H493" s="44" t="s">
        <v>76</v>
      </c>
      <c r="J493" s="49">
        <v>1</v>
      </c>
      <c r="K493" s="45">
        <v>0</v>
      </c>
      <c r="L493" s="45" t="s">
        <v>564</v>
      </c>
      <c r="M493" s="58"/>
      <c r="N493" s="58"/>
    </row>
    <row r="494" spans="1:14" ht="16.5" customHeight="1" x14ac:dyDescent="0.3">
      <c r="A494" s="48">
        <v>46036</v>
      </c>
      <c r="B494" s="42" t="s">
        <v>34</v>
      </c>
      <c r="D494" s="42" t="s">
        <v>453</v>
      </c>
      <c r="E494" s="42" t="s">
        <v>74</v>
      </c>
      <c r="F494" s="44" t="s">
        <v>509</v>
      </c>
      <c r="H494" s="44" t="s">
        <v>76</v>
      </c>
      <c r="J494" s="49">
        <v>1</v>
      </c>
      <c r="K494" s="45">
        <v>0</v>
      </c>
      <c r="L494" s="45" t="s">
        <v>564</v>
      </c>
      <c r="M494" s="58"/>
      <c r="N494" s="58"/>
    </row>
    <row r="495" spans="1:14" ht="16.5" customHeight="1" x14ac:dyDescent="0.3">
      <c r="A495" s="48">
        <v>46036</v>
      </c>
      <c r="B495" s="42" t="s">
        <v>34</v>
      </c>
      <c r="D495" s="42" t="s">
        <v>453</v>
      </c>
      <c r="E495" s="42" t="s">
        <v>74</v>
      </c>
      <c r="F495" s="44" t="s">
        <v>510</v>
      </c>
      <c r="H495" s="44" t="s">
        <v>76</v>
      </c>
      <c r="J495" s="49">
        <v>1</v>
      </c>
      <c r="K495" s="45">
        <v>0</v>
      </c>
      <c r="L495" s="45" t="s">
        <v>570</v>
      </c>
    </row>
    <row r="496" spans="1:14" ht="16.5" customHeight="1" x14ac:dyDescent="0.3">
      <c r="A496" s="48">
        <v>46036</v>
      </c>
      <c r="B496" s="42" t="s">
        <v>34</v>
      </c>
      <c r="D496" s="42" t="s">
        <v>453</v>
      </c>
      <c r="E496" s="42" t="s">
        <v>74</v>
      </c>
      <c r="F496" s="44" t="s">
        <v>511</v>
      </c>
      <c r="H496" s="44" t="s">
        <v>76</v>
      </c>
      <c r="J496" s="49">
        <v>1</v>
      </c>
      <c r="K496" s="45">
        <v>0</v>
      </c>
      <c r="L496" s="45" t="s">
        <v>570</v>
      </c>
    </row>
    <row r="497" spans="1:14" ht="16.5" customHeight="1" x14ac:dyDescent="0.3">
      <c r="A497" s="48">
        <v>46036</v>
      </c>
      <c r="B497" s="42" t="s">
        <v>34</v>
      </c>
      <c r="D497" s="42" t="s">
        <v>453</v>
      </c>
      <c r="E497" s="42" t="s">
        <v>74</v>
      </c>
      <c r="F497" s="44" t="s">
        <v>512</v>
      </c>
      <c r="H497" s="44" t="s">
        <v>76</v>
      </c>
      <c r="J497" s="49">
        <v>1</v>
      </c>
      <c r="K497" s="45">
        <v>0</v>
      </c>
      <c r="L497" s="45" t="s">
        <v>570</v>
      </c>
      <c r="M497" s="58"/>
      <c r="N497" s="58"/>
    </row>
    <row r="498" spans="1:14" ht="16.5" customHeight="1" x14ac:dyDescent="0.3">
      <c r="A498" s="48">
        <v>46036</v>
      </c>
      <c r="B498" s="42" t="s">
        <v>34</v>
      </c>
      <c r="D498" s="42" t="s">
        <v>453</v>
      </c>
      <c r="E498" s="42" t="s">
        <v>74</v>
      </c>
      <c r="F498" s="44" t="s">
        <v>513</v>
      </c>
      <c r="H498" s="44" t="s">
        <v>76</v>
      </c>
      <c r="J498" s="49">
        <v>1</v>
      </c>
      <c r="K498" s="45">
        <v>0</v>
      </c>
      <c r="L498" s="45" t="s">
        <v>570</v>
      </c>
    </row>
    <row r="499" spans="1:14" ht="16.5" customHeight="1" x14ac:dyDescent="0.3">
      <c r="A499" s="48">
        <v>46036</v>
      </c>
      <c r="B499" s="42" t="s">
        <v>34</v>
      </c>
      <c r="D499" s="42" t="s">
        <v>453</v>
      </c>
      <c r="E499" s="42" t="s">
        <v>74</v>
      </c>
      <c r="F499" s="44" t="s">
        <v>514</v>
      </c>
      <c r="H499" s="44" t="s">
        <v>76</v>
      </c>
      <c r="J499" s="49">
        <v>1</v>
      </c>
      <c r="K499" s="45">
        <v>0</v>
      </c>
      <c r="L499" s="45" t="s">
        <v>570</v>
      </c>
    </row>
    <row r="500" spans="1:14" ht="16.5" customHeight="1" x14ac:dyDescent="0.3">
      <c r="A500" s="48">
        <v>46036</v>
      </c>
      <c r="B500" s="42" t="s">
        <v>34</v>
      </c>
      <c r="D500" s="42" t="s">
        <v>453</v>
      </c>
      <c r="E500" s="42" t="s">
        <v>74</v>
      </c>
      <c r="F500" s="44" t="s">
        <v>515</v>
      </c>
      <c r="H500" s="44" t="s">
        <v>76</v>
      </c>
      <c r="J500" s="49">
        <v>1</v>
      </c>
      <c r="K500" s="45">
        <v>0</v>
      </c>
      <c r="L500" s="45" t="s">
        <v>564</v>
      </c>
    </row>
    <row r="501" spans="1:14" ht="16.5" customHeight="1" x14ac:dyDescent="0.3">
      <c r="A501" s="48">
        <v>46036</v>
      </c>
      <c r="B501" s="42" t="s">
        <v>34</v>
      </c>
      <c r="D501" s="42" t="s">
        <v>453</v>
      </c>
      <c r="E501" s="42" t="s">
        <v>74</v>
      </c>
      <c r="F501" s="44" t="s">
        <v>516</v>
      </c>
      <c r="H501" s="44" t="s">
        <v>76</v>
      </c>
      <c r="J501" s="49">
        <v>1</v>
      </c>
      <c r="K501" s="45">
        <v>0</v>
      </c>
      <c r="L501" s="45" t="s">
        <v>564</v>
      </c>
    </row>
    <row r="502" spans="1:14" ht="16.5" customHeight="1" x14ac:dyDescent="0.3">
      <c r="A502" s="48">
        <v>46036</v>
      </c>
      <c r="B502" s="42" t="s">
        <v>34</v>
      </c>
      <c r="D502" s="42" t="s">
        <v>453</v>
      </c>
      <c r="E502" s="42" t="s">
        <v>74</v>
      </c>
      <c r="F502" s="44" t="s">
        <v>517</v>
      </c>
      <c r="H502" s="44" t="s">
        <v>76</v>
      </c>
      <c r="J502" s="49">
        <v>1</v>
      </c>
      <c r="K502" s="45">
        <v>21.67</v>
      </c>
    </row>
    <row r="503" spans="1:14" ht="16.5" customHeight="1" x14ac:dyDescent="0.3">
      <c r="A503" s="48">
        <v>46036</v>
      </c>
      <c r="B503" s="42" t="s">
        <v>34</v>
      </c>
      <c r="D503" s="42" t="s">
        <v>453</v>
      </c>
      <c r="E503" s="42" t="s">
        <v>74</v>
      </c>
      <c r="F503" s="44" t="s">
        <v>518</v>
      </c>
      <c r="H503" s="44" t="s">
        <v>76</v>
      </c>
      <c r="J503" s="49">
        <v>1</v>
      </c>
      <c r="K503" s="45">
        <v>8.32</v>
      </c>
    </row>
    <row r="504" spans="1:14" ht="16.5" customHeight="1" x14ac:dyDescent="0.3">
      <c r="A504" s="48">
        <v>46036</v>
      </c>
      <c r="B504" s="42" t="s">
        <v>34</v>
      </c>
      <c r="D504" s="42" t="s">
        <v>453</v>
      </c>
      <c r="E504" s="42" t="s">
        <v>74</v>
      </c>
      <c r="F504" s="44" t="s">
        <v>519</v>
      </c>
      <c r="H504" s="44" t="s">
        <v>195</v>
      </c>
      <c r="J504" s="49">
        <v>1</v>
      </c>
      <c r="K504" s="45">
        <v>0.53</v>
      </c>
    </row>
    <row r="505" spans="1:14" ht="16.5" customHeight="1" x14ac:dyDescent="0.3">
      <c r="A505" s="48">
        <v>46036</v>
      </c>
      <c r="B505" s="42" t="s">
        <v>34</v>
      </c>
      <c r="D505" s="42" t="s">
        <v>453</v>
      </c>
      <c r="E505" s="42" t="s">
        <v>74</v>
      </c>
      <c r="F505" s="44" t="s">
        <v>520</v>
      </c>
      <c r="H505" s="44" t="s">
        <v>76</v>
      </c>
      <c r="J505" s="49">
        <v>1</v>
      </c>
      <c r="K505" s="45">
        <v>0.41</v>
      </c>
    </row>
    <row r="506" spans="1:14" ht="16.5" customHeight="1" x14ac:dyDescent="0.3">
      <c r="A506" s="48">
        <v>46036</v>
      </c>
      <c r="B506" s="42" t="s">
        <v>34</v>
      </c>
      <c r="D506" s="42" t="s">
        <v>453</v>
      </c>
      <c r="E506" s="42" t="s">
        <v>74</v>
      </c>
      <c r="F506" s="44" t="s">
        <v>521</v>
      </c>
      <c r="H506" s="44" t="s">
        <v>195</v>
      </c>
      <c r="J506" s="49">
        <v>1</v>
      </c>
      <c r="K506" s="45">
        <v>1.49</v>
      </c>
    </row>
    <row r="507" spans="1:14" ht="16.5" customHeight="1" x14ac:dyDescent="0.3">
      <c r="A507" s="48">
        <v>46036</v>
      </c>
      <c r="B507" s="42" t="s">
        <v>34</v>
      </c>
      <c r="D507" s="42" t="s">
        <v>453</v>
      </c>
      <c r="E507" s="42" t="s">
        <v>74</v>
      </c>
      <c r="F507" s="44" t="s">
        <v>522</v>
      </c>
      <c r="H507" s="44" t="s">
        <v>195</v>
      </c>
      <c r="J507" s="49">
        <v>1</v>
      </c>
      <c r="K507" s="45">
        <v>0.51</v>
      </c>
    </row>
    <row r="508" spans="1:14" ht="16.5" customHeight="1" x14ac:dyDescent="0.3">
      <c r="A508" s="48">
        <v>46036</v>
      </c>
      <c r="B508" s="42" t="s">
        <v>34</v>
      </c>
      <c r="D508" s="42" t="s">
        <v>453</v>
      </c>
      <c r="E508" s="42" t="s">
        <v>74</v>
      </c>
      <c r="F508" s="44" t="s">
        <v>523</v>
      </c>
      <c r="H508" s="44" t="s">
        <v>195</v>
      </c>
      <c r="J508" s="49">
        <v>1</v>
      </c>
      <c r="K508" s="45">
        <v>1.98</v>
      </c>
    </row>
    <row r="509" spans="1:14" ht="16.5" customHeight="1" x14ac:dyDescent="0.3">
      <c r="A509" s="48">
        <v>46036</v>
      </c>
      <c r="B509" s="42" t="s">
        <v>34</v>
      </c>
      <c r="D509" s="42" t="s">
        <v>453</v>
      </c>
      <c r="E509" s="42" t="s">
        <v>74</v>
      </c>
      <c r="F509" s="44" t="s">
        <v>524</v>
      </c>
      <c r="H509" s="44" t="s">
        <v>195</v>
      </c>
      <c r="J509" s="49">
        <v>1</v>
      </c>
      <c r="K509" s="45">
        <v>1.98</v>
      </c>
    </row>
    <row r="510" spans="1:14" ht="16.5" customHeight="1" x14ac:dyDescent="0.3">
      <c r="A510" s="48">
        <v>46036</v>
      </c>
      <c r="B510" s="42" t="s">
        <v>34</v>
      </c>
      <c r="D510" s="42" t="s">
        <v>453</v>
      </c>
      <c r="E510" s="42" t="s">
        <v>74</v>
      </c>
      <c r="F510" s="44" t="s">
        <v>525</v>
      </c>
      <c r="H510" s="44" t="s">
        <v>195</v>
      </c>
      <c r="J510" s="49">
        <v>1</v>
      </c>
      <c r="K510" s="45">
        <v>1.01</v>
      </c>
    </row>
    <row r="511" spans="1:14" ht="16.5" customHeight="1" x14ac:dyDescent="0.3">
      <c r="A511" s="48">
        <v>46036</v>
      </c>
      <c r="B511" s="42" t="s">
        <v>34</v>
      </c>
      <c r="D511" s="42" t="s">
        <v>453</v>
      </c>
      <c r="E511" s="42" t="s">
        <v>74</v>
      </c>
      <c r="F511" s="44" t="s">
        <v>526</v>
      </c>
      <c r="H511" s="44" t="s">
        <v>195</v>
      </c>
      <c r="J511" s="49">
        <v>1</v>
      </c>
      <c r="K511" s="45">
        <v>0.53</v>
      </c>
    </row>
    <row r="512" spans="1:14" ht="16.5" customHeight="1" x14ac:dyDescent="0.3">
      <c r="A512" s="48">
        <v>46036</v>
      </c>
      <c r="B512" s="42" t="s">
        <v>34</v>
      </c>
      <c r="D512" s="42" t="s">
        <v>453</v>
      </c>
      <c r="E512" s="42" t="s">
        <v>74</v>
      </c>
      <c r="F512" s="44" t="s">
        <v>527</v>
      </c>
      <c r="H512" s="44" t="s">
        <v>76</v>
      </c>
      <c r="J512" s="49">
        <v>1</v>
      </c>
      <c r="K512" s="45">
        <v>50.65</v>
      </c>
    </row>
    <row r="513" spans="1:12" ht="16.5" customHeight="1" x14ac:dyDescent="0.3">
      <c r="A513" s="48">
        <v>46036</v>
      </c>
      <c r="B513" s="42" t="s">
        <v>34</v>
      </c>
      <c r="D513" s="42" t="s">
        <v>453</v>
      </c>
      <c r="E513" s="42" t="s">
        <v>74</v>
      </c>
      <c r="F513" s="44" t="s">
        <v>528</v>
      </c>
      <c r="H513" s="44" t="s">
        <v>76</v>
      </c>
      <c r="J513" s="49">
        <v>1</v>
      </c>
      <c r="K513" s="45">
        <v>0</v>
      </c>
      <c r="L513" s="45" t="s">
        <v>570</v>
      </c>
    </row>
    <row r="514" spans="1:12" ht="16.5" customHeight="1" x14ac:dyDescent="0.3">
      <c r="A514" s="48">
        <v>46036</v>
      </c>
      <c r="B514" s="42" t="s">
        <v>34</v>
      </c>
      <c r="D514" s="42" t="s">
        <v>453</v>
      </c>
      <c r="E514" s="42" t="s">
        <v>74</v>
      </c>
      <c r="F514" s="44" t="s">
        <v>529</v>
      </c>
      <c r="H514" s="44" t="s">
        <v>76</v>
      </c>
      <c r="J514" s="49">
        <v>1</v>
      </c>
      <c r="K514" s="45">
        <v>0</v>
      </c>
      <c r="L514" s="45" t="s">
        <v>570</v>
      </c>
    </row>
    <row r="515" spans="1:12" ht="16.5" customHeight="1" x14ac:dyDescent="0.3">
      <c r="A515" s="48">
        <v>46036</v>
      </c>
      <c r="B515" s="42" t="s">
        <v>34</v>
      </c>
      <c r="D515" s="42" t="s">
        <v>453</v>
      </c>
      <c r="E515" s="42" t="s">
        <v>74</v>
      </c>
      <c r="F515" s="44" t="s">
        <v>530</v>
      </c>
      <c r="H515" s="44" t="s">
        <v>76</v>
      </c>
      <c r="J515" s="49">
        <v>1</v>
      </c>
      <c r="K515" s="45">
        <v>0</v>
      </c>
      <c r="L515" s="45" t="s">
        <v>570</v>
      </c>
    </row>
    <row r="516" spans="1:12" ht="16.5" customHeight="1" x14ac:dyDescent="0.3">
      <c r="A516" s="48">
        <v>46036</v>
      </c>
      <c r="B516" s="42" t="s">
        <v>34</v>
      </c>
      <c r="D516" s="42" t="s">
        <v>453</v>
      </c>
      <c r="E516" s="42" t="s">
        <v>74</v>
      </c>
      <c r="F516" s="44" t="s">
        <v>531</v>
      </c>
      <c r="H516" s="44" t="s">
        <v>76</v>
      </c>
      <c r="J516" s="49">
        <v>1</v>
      </c>
      <c r="K516" s="45">
        <v>25.92</v>
      </c>
    </row>
    <row r="517" spans="1:12" ht="16.5" customHeight="1" x14ac:dyDescent="0.3">
      <c r="A517" s="48">
        <v>46036</v>
      </c>
      <c r="B517" s="42" t="s">
        <v>34</v>
      </c>
      <c r="D517" s="42" t="s">
        <v>453</v>
      </c>
      <c r="E517" s="42" t="s">
        <v>74</v>
      </c>
      <c r="F517" s="44" t="s">
        <v>532</v>
      </c>
      <c r="G517" s="55"/>
      <c r="H517" s="44" t="s">
        <v>76</v>
      </c>
      <c r="J517" s="49">
        <v>1</v>
      </c>
      <c r="K517" s="46">
        <v>0</v>
      </c>
      <c r="L517" s="46" t="s">
        <v>571</v>
      </c>
    </row>
    <row r="518" spans="1:12" ht="16.5" customHeight="1" x14ac:dyDescent="0.3">
      <c r="A518" s="48">
        <v>46036</v>
      </c>
      <c r="B518" s="42" t="s">
        <v>34</v>
      </c>
      <c r="D518" s="42" t="s">
        <v>453</v>
      </c>
      <c r="E518" s="42" t="s">
        <v>74</v>
      </c>
      <c r="F518" s="44" t="s">
        <v>533</v>
      </c>
      <c r="G518" s="55"/>
      <c r="H518" s="44" t="s">
        <v>195</v>
      </c>
      <c r="J518" s="49">
        <v>1</v>
      </c>
      <c r="K518" s="46">
        <v>0.53</v>
      </c>
      <c r="L518" s="46"/>
    </row>
    <row r="519" spans="1:12" ht="16.5" customHeight="1" x14ac:dyDescent="0.3">
      <c r="A519" s="48">
        <v>46036</v>
      </c>
      <c r="B519" s="42" t="s">
        <v>34</v>
      </c>
      <c r="D519" s="42" t="s">
        <v>453</v>
      </c>
      <c r="E519" s="42" t="s">
        <v>74</v>
      </c>
      <c r="F519" s="44" t="s">
        <v>534</v>
      </c>
      <c r="G519" s="55"/>
      <c r="H519" s="44" t="s">
        <v>76</v>
      </c>
      <c r="J519" s="49">
        <v>1</v>
      </c>
      <c r="K519" s="46">
        <v>2.46</v>
      </c>
      <c r="L519" s="46"/>
    </row>
    <row r="520" spans="1:12" ht="16.5" customHeight="1" x14ac:dyDescent="0.3">
      <c r="A520" s="48">
        <v>46036</v>
      </c>
      <c r="B520" s="42" t="s">
        <v>34</v>
      </c>
      <c r="D520" s="42" t="s">
        <v>453</v>
      </c>
      <c r="E520" s="42" t="s">
        <v>74</v>
      </c>
      <c r="F520" s="44" t="s">
        <v>535</v>
      </c>
      <c r="G520" s="55"/>
      <c r="H520" s="44" t="s">
        <v>76</v>
      </c>
      <c r="J520" s="49">
        <v>1</v>
      </c>
      <c r="K520" s="45">
        <v>5.43</v>
      </c>
    </row>
    <row r="521" spans="1:12" ht="16.5" customHeight="1" x14ac:dyDescent="0.3">
      <c r="A521" s="48">
        <v>46036</v>
      </c>
      <c r="B521" s="42" t="s">
        <v>34</v>
      </c>
      <c r="D521" s="42" t="s">
        <v>453</v>
      </c>
      <c r="E521" s="42" t="s">
        <v>74</v>
      </c>
      <c r="F521" s="44" t="s">
        <v>536</v>
      </c>
      <c r="G521" s="55"/>
      <c r="H521" s="44" t="s">
        <v>76</v>
      </c>
      <c r="J521" s="49">
        <v>1</v>
      </c>
      <c r="K521" s="45">
        <v>0</v>
      </c>
      <c r="L521" s="45" t="s">
        <v>569</v>
      </c>
    </row>
    <row r="522" spans="1:12" ht="16.5" customHeight="1" x14ac:dyDescent="0.3">
      <c r="A522" s="48">
        <v>46036</v>
      </c>
      <c r="B522" s="42" t="s">
        <v>34</v>
      </c>
      <c r="D522" s="42" t="s">
        <v>453</v>
      </c>
      <c r="E522" s="42" t="s">
        <v>74</v>
      </c>
      <c r="F522" s="44" t="s">
        <v>537</v>
      </c>
      <c r="G522" s="55"/>
      <c r="H522" s="44" t="s">
        <v>76</v>
      </c>
      <c r="J522" s="49">
        <v>1</v>
      </c>
      <c r="K522" s="45">
        <v>4.67</v>
      </c>
    </row>
    <row r="523" spans="1:12" ht="16.5" customHeight="1" x14ac:dyDescent="0.3">
      <c r="A523" s="48">
        <v>46036</v>
      </c>
      <c r="B523" s="42" t="s">
        <v>34</v>
      </c>
      <c r="D523" s="42" t="s">
        <v>453</v>
      </c>
      <c r="E523" s="42" t="s">
        <v>74</v>
      </c>
      <c r="F523" s="44" t="s">
        <v>538</v>
      </c>
      <c r="G523" s="55"/>
      <c r="H523" s="44" t="s">
        <v>76</v>
      </c>
      <c r="J523" s="49">
        <v>1</v>
      </c>
      <c r="K523" s="45">
        <v>0</v>
      </c>
      <c r="L523" s="45" t="s">
        <v>564</v>
      </c>
    </row>
    <row r="524" spans="1:12" ht="16.5" customHeight="1" x14ac:dyDescent="0.3">
      <c r="A524" s="48">
        <v>46036</v>
      </c>
      <c r="B524" s="42" t="s">
        <v>34</v>
      </c>
      <c r="D524" s="42" t="s">
        <v>453</v>
      </c>
      <c r="E524" s="42" t="s">
        <v>74</v>
      </c>
      <c r="F524" s="44" t="s">
        <v>539</v>
      </c>
      <c r="G524" s="55"/>
      <c r="H524" s="44" t="s">
        <v>76</v>
      </c>
      <c r="J524" s="49">
        <v>1</v>
      </c>
      <c r="K524" s="45">
        <v>0</v>
      </c>
      <c r="L524" s="45" t="s">
        <v>564</v>
      </c>
    </row>
    <row r="525" spans="1:12" ht="16.5" customHeight="1" x14ac:dyDescent="0.3">
      <c r="A525" s="48">
        <v>46036</v>
      </c>
      <c r="B525" s="42" t="s">
        <v>34</v>
      </c>
      <c r="D525" s="42" t="s">
        <v>453</v>
      </c>
      <c r="E525" s="42" t="s">
        <v>74</v>
      </c>
      <c r="F525" s="44" t="s">
        <v>540</v>
      </c>
      <c r="G525" s="55"/>
      <c r="H525" s="44" t="s">
        <v>76</v>
      </c>
      <c r="J525" s="49">
        <v>1</v>
      </c>
      <c r="K525" s="45">
        <v>0.75</v>
      </c>
    </row>
    <row r="526" spans="1:12" ht="16.5" customHeight="1" x14ac:dyDescent="0.3">
      <c r="A526" s="48">
        <v>46036</v>
      </c>
      <c r="B526" s="42" t="s">
        <v>34</v>
      </c>
      <c r="D526" s="42" t="s">
        <v>453</v>
      </c>
      <c r="E526" s="42" t="s">
        <v>74</v>
      </c>
      <c r="F526" s="44" t="s">
        <v>541</v>
      </c>
      <c r="G526" s="55"/>
      <c r="H526" s="44" t="s">
        <v>76</v>
      </c>
      <c r="J526" s="49">
        <v>1</v>
      </c>
      <c r="K526" s="45">
        <v>0.9</v>
      </c>
    </row>
    <row r="527" spans="1:12" ht="16.5" customHeight="1" x14ac:dyDescent="0.3">
      <c r="A527" s="48">
        <v>46036</v>
      </c>
      <c r="B527" s="42" t="s">
        <v>34</v>
      </c>
      <c r="D527" s="42" t="s">
        <v>453</v>
      </c>
      <c r="E527" s="42" t="s">
        <v>74</v>
      </c>
      <c r="F527" s="44" t="s">
        <v>542</v>
      </c>
      <c r="G527" s="55"/>
      <c r="H527" s="44" t="s">
        <v>76</v>
      </c>
      <c r="J527" s="49">
        <v>1</v>
      </c>
      <c r="K527" s="45">
        <v>0</v>
      </c>
      <c r="L527" s="45" t="s">
        <v>572</v>
      </c>
    </row>
    <row r="528" spans="1:12" ht="16.5" customHeight="1" x14ac:dyDescent="0.3">
      <c r="A528" s="48">
        <v>46036</v>
      </c>
      <c r="B528" s="42" t="s">
        <v>34</v>
      </c>
      <c r="D528" s="42" t="s">
        <v>453</v>
      </c>
      <c r="E528" s="42" t="s">
        <v>74</v>
      </c>
      <c r="F528" s="44" t="s">
        <v>543</v>
      </c>
      <c r="G528" s="55"/>
      <c r="H528" s="44" t="s">
        <v>76</v>
      </c>
      <c r="J528" s="49">
        <v>1</v>
      </c>
      <c r="K528" s="45">
        <v>0.85</v>
      </c>
    </row>
    <row r="529" spans="1:12" ht="16.5" customHeight="1" x14ac:dyDescent="0.3">
      <c r="A529" s="48">
        <v>46036</v>
      </c>
      <c r="B529" s="42" t="s">
        <v>34</v>
      </c>
      <c r="D529" s="42" t="s">
        <v>453</v>
      </c>
      <c r="E529" s="42" t="s">
        <v>74</v>
      </c>
      <c r="F529" s="44" t="s">
        <v>544</v>
      </c>
      <c r="G529" s="55"/>
      <c r="H529" s="44" t="s">
        <v>76</v>
      </c>
      <c r="J529" s="49">
        <v>1</v>
      </c>
      <c r="K529" s="45">
        <v>1.85</v>
      </c>
    </row>
    <row r="530" spans="1:12" ht="16.5" customHeight="1" x14ac:dyDescent="0.3">
      <c r="A530" s="48">
        <v>46036</v>
      </c>
      <c r="B530" s="42" t="s">
        <v>34</v>
      </c>
      <c r="D530" s="42" t="s">
        <v>453</v>
      </c>
      <c r="E530" s="42" t="s">
        <v>74</v>
      </c>
      <c r="F530" s="44" t="s">
        <v>545</v>
      </c>
      <c r="G530" s="55"/>
      <c r="H530" s="44" t="s">
        <v>76</v>
      </c>
      <c r="J530" s="49">
        <v>1</v>
      </c>
      <c r="K530" s="45">
        <v>0.85</v>
      </c>
    </row>
    <row r="531" spans="1:12" ht="16.5" customHeight="1" x14ac:dyDescent="0.3">
      <c r="A531" s="48">
        <v>46036</v>
      </c>
      <c r="B531" s="42" t="s">
        <v>34</v>
      </c>
      <c r="D531" s="42" t="s">
        <v>453</v>
      </c>
      <c r="E531" s="42" t="s">
        <v>74</v>
      </c>
      <c r="F531" s="44" t="s">
        <v>546</v>
      </c>
      <c r="G531" s="55"/>
      <c r="H531" s="44" t="s">
        <v>76</v>
      </c>
      <c r="J531" s="49">
        <v>1</v>
      </c>
      <c r="K531" s="45">
        <v>1.8</v>
      </c>
    </row>
    <row r="532" spans="1:12" ht="16.5" customHeight="1" x14ac:dyDescent="0.3">
      <c r="A532" s="48">
        <v>46036</v>
      </c>
      <c r="B532" s="42" t="s">
        <v>34</v>
      </c>
      <c r="D532" s="42" t="s">
        <v>453</v>
      </c>
      <c r="E532" s="42" t="s">
        <v>74</v>
      </c>
      <c r="F532" s="44" t="s">
        <v>547</v>
      </c>
      <c r="G532" s="55"/>
      <c r="H532" s="44" t="s">
        <v>76</v>
      </c>
      <c r="J532" s="49">
        <v>1</v>
      </c>
      <c r="K532" s="45">
        <v>0</v>
      </c>
      <c r="L532" s="45" t="s">
        <v>573</v>
      </c>
    </row>
    <row r="533" spans="1:12" ht="16.5" customHeight="1" x14ac:dyDescent="0.3">
      <c r="A533" s="48">
        <v>46036</v>
      </c>
      <c r="B533" s="42" t="s">
        <v>34</v>
      </c>
      <c r="D533" s="42" t="s">
        <v>453</v>
      </c>
      <c r="E533" s="42" t="s">
        <v>74</v>
      </c>
      <c r="F533" s="44" t="s">
        <v>548</v>
      </c>
      <c r="G533" s="55"/>
      <c r="H533" s="44" t="s">
        <v>76</v>
      </c>
      <c r="J533" s="49">
        <v>1</v>
      </c>
      <c r="K533" s="45">
        <v>33.380000000000003</v>
      </c>
    </row>
    <row r="534" spans="1:12" ht="16.5" customHeight="1" x14ac:dyDescent="0.3">
      <c r="A534" s="48">
        <v>46036</v>
      </c>
      <c r="B534" s="42" t="s">
        <v>34</v>
      </c>
      <c r="D534" s="42" t="s">
        <v>453</v>
      </c>
      <c r="E534" s="42" t="s">
        <v>74</v>
      </c>
      <c r="F534" s="44" t="s">
        <v>549</v>
      </c>
      <c r="G534" s="55"/>
      <c r="H534" s="44" t="s">
        <v>76</v>
      </c>
      <c r="J534" s="49">
        <v>1</v>
      </c>
      <c r="K534" s="45">
        <v>0</v>
      </c>
      <c r="L534" s="45" t="s">
        <v>573</v>
      </c>
    </row>
    <row r="535" spans="1:12" ht="16.5" customHeight="1" x14ac:dyDescent="0.3">
      <c r="A535" s="48">
        <v>46036</v>
      </c>
      <c r="B535" s="42" t="s">
        <v>34</v>
      </c>
      <c r="D535" s="42" t="s">
        <v>453</v>
      </c>
      <c r="E535" s="42" t="s">
        <v>74</v>
      </c>
      <c r="F535" s="44" t="s">
        <v>550</v>
      </c>
      <c r="G535" s="55"/>
      <c r="H535" s="44" t="s">
        <v>76</v>
      </c>
      <c r="J535" s="49">
        <v>1</v>
      </c>
      <c r="K535" s="45">
        <v>0</v>
      </c>
      <c r="L535" s="45" t="s">
        <v>573</v>
      </c>
    </row>
    <row r="536" spans="1:12" ht="16.5" customHeight="1" x14ac:dyDescent="0.3">
      <c r="A536" s="48">
        <v>46036</v>
      </c>
      <c r="B536" s="42" t="s">
        <v>34</v>
      </c>
      <c r="D536" s="42" t="s">
        <v>453</v>
      </c>
      <c r="E536" s="42" t="s">
        <v>74</v>
      </c>
      <c r="F536" s="44" t="s">
        <v>551</v>
      </c>
      <c r="G536" s="55"/>
      <c r="H536" s="44" t="s">
        <v>76</v>
      </c>
      <c r="J536" s="49">
        <v>1</v>
      </c>
      <c r="K536" s="45">
        <v>0</v>
      </c>
      <c r="L536" s="45" t="s">
        <v>573</v>
      </c>
    </row>
    <row r="537" spans="1:12" ht="16.5" customHeight="1" x14ac:dyDescent="0.3">
      <c r="A537" s="48">
        <v>46036</v>
      </c>
      <c r="B537" s="42" t="s">
        <v>34</v>
      </c>
      <c r="D537" s="42" t="s">
        <v>453</v>
      </c>
      <c r="E537" s="42" t="s">
        <v>74</v>
      </c>
      <c r="F537" s="44" t="s">
        <v>552</v>
      </c>
      <c r="G537" s="55"/>
      <c r="H537" s="44" t="s">
        <v>76</v>
      </c>
      <c r="J537" s="49">
        <v>1</v>
      </c>
      <c r="K537" s="45">
        <v>2.2000000000000002</v>
      </c>
    </row>
    <row r="538" spans="1:12" ht="16.5" customHeight="1" x14ac:dyDescent="0.3">
      <c r="A538" s="48">
        <v>46036</v>
      </c>
      <c r="B538" s="42" t="s">
        <v>34</v>
      </c>
      <c r="D538" s="42" t="s">
        <v>453</v>
      </c>
      <c r="E538" s="42" t="s">
        <v>74</v>
      </c>
      <c r="F538" s="44" t="s">
        <v>553</v>
      </c>
      <c r="G538" s="55"/>
      <c r="H538" s="44" t="s">
        <v>76</v>
      </c>
      <c r="J538" s="49">
        <v>1</v>
      </c>
      <c r="K538" s="45">
        <v>1.6</v>
      </c>
    </row>
    <row r="539" spans="1:12" ht="16.5" customHeight="1" x14ac:dyDescent="0.3">
      <c r="A539" s="48">
        <v>46036</v>
      </c>
      <c r="B539" s="42" t="s">
        <v>34</v>
      </c>
      <c r="D539" s="42" t="s">
        <v>453</v>
      </c>
      <c r="E539" s="42" t="s">
        <v>74</v>
      </c>
      <c r="F539" s="44" t="s">
        <v>554</v>
      </c>
      <c r="G539" s="55"/>
      <c r="H539" s="44" t="s">
        <v>76</v>
      </c>
      <c r="J539" s="49">
        <v>1</v>
      </c>
      <c r="K539" s="45">
        <v>0.77</v>
      </c>
    </row>
    <row r="540" spans="1:12" ht="16.5" customHeight="1" x14ac:dyDescent="0.3">
      <c r="A540" s="48">
        <v>46036</v>
      </c>
      <c r="B540" s="42" t="s">
        <v>34</v>
      </c>
      <c r="D540" s="42" t="s">
        <v>453</v>
      </c>
      <c r="E540" s="42" t="s">
        <v>74</v>
      </c>
      <c r="F540" s="44" t="s">
        <v>555</v>
      </c>
      <c r="G540" s="55"/>
      <c r="H540" s="44" t="s">
        <v>76</v>
      </c>
      <c r="J540" s="49">
        <v>1</v>
      </c>
      <c r="K540" s="45">
        <v>0</v>
      </c>
      <c r="L540" s="45" t="s">
        <v>564</v>
      </c>
    </row>
    <row r="541" spans="1:12" ht="16.5" customHeight="1" x14ac:dyDescent="0.3">
      <c r="A541" s="48">
        <v>46036</v>
      </c>
      <c r="B541" s="42" t="s">
        <v>34</v>
      </c>
      <c r="D541" s="42" t="s">
        <v>453</v>
      </c>
      <c r="E541" s="42" t="s">
        <v>74</v>
      </c>
      <c r="F541" s="44" t="s">
        <v>556</v>
      </c>
      <c r="G541" s="55"/>
      <c r="H541" s="44" t="s">
        <v>76</v>
      </c>
      <c r="J541" s="49">
        <v>1</v>
      </c>
      <c r="K541" s="45">
        <v>6.35</v>
      </c>
    </row>
    <row r="542" spans="1:12" ht="16.5" customHeight="1" x14ac:dyDescent="0.3">
      <c r="A542" s="48">
        <v>46036</v>
      </c>
      <c r="B542" s="42" t="s">
        <v>34</v>
      </c>
      <c r="D542" s="42" t="s">
        <v>453</v>
      </c>
      <c r="E542" s="42" t="s">
        <v>74</v>
      </c>
      <c r="F542" s="44" t="s">
        <v>557</v>
      </c>
      <c r="G542" s="55"/>
      <c r="H542" s="44" t="s">
        <v>76</v>
      </c>
      <c r="J542" s="49">
        <v>1</v>
      </c>
      <c r="K542" s="45">
        <v>1.01</v>
      </c>
    </row>
    <row r="543" spans="1:12" ht="16.5" customHeight="1" x14ac:dyDescent="0.3">
      <c r="A543" s="48">
        <v>46036</v>
      </c>
      <c r="B543" s="42" t="s">
        <v>34</v>
      </c>
      <c r="D543" s="42" t="s">
        <v>453</v>
      </c>
      <c r="E543" s="42" t="s">
        <v>74</v>
      </c>
      <c r="F543" s="44" t="s">
        <v>558</v>
      </c>
      <c r="G543" s="55"/>
      <c r="H543" s="44" t="s">
        <v>76</v>
      </c>
      <c r="J543" s="49">
        <v>1</v>
      </c>
      <c r="K543" s="45">
        <v>0.77</v>
      </c>
    </row>
    <row r="544" spans="1:12" ht="16.5" customHeight="1" x14ac:dyDescent="0.3">
      <c r="A544" s="48">
        <v>46036</v>
      </c>
      <c r="B544" s="42" t="s">
        <v>34</v>
      </c>
      <c r="D544" s="42" t="s">
        <v>453</v>
      </c>
      <c r="E544" s="42" t="s">
        <v>74</v>
      </c>
      <c r="F544" s="44" t="s">
        <v>559</v>
      </c>
      <c r="G544" s="55"/>
      <c r="H544" s="44" t="s">
        <v>76</v>
      </c>
      <c r="J544" s="49">
        <v>1</v>
      </c>
      <c r="K544" s="45">
        <v>0.52</v>
      </c>
    </row>
    <row r="545" spans="1:14" ht="16.5" customHeight="1" x14ac:dyDescent="0.3">
      <c r="A545" s="48">
        <v>46036</v>
      </c>
      <c r="B545" s="42" t="s">
        <v>34</v>
      </c>
      <c r="D545" s="42" t="s">
        <v>453</v>
      </c>
      <c r="E545" s="42" t="s">
        <v>74</v>
      </c>
      <c r="F545" s="44" t="s">
        <v>560</v>
      </c>
      <c r="G545" s="55"/>
      <c r="H545" s="44" t="s">
        <v>76</v>
      </c>
      <c r="J545" s="49">
        <v>1</v>
      </c>
      <c r="K545" s="45">
        <v>0.78</v>
      </c>
    </row>
    <row r="546" spans="1:14" ht="16.5" customHeight="1" x14ac:dyDescent="0.3">
      <c r="A546" s="48">
        <v>46036</v>
      </c>
      <c r="B546" s="42" t="s">
        <v>34</v>
      </c>
      <c r="D546" s="42" t="s">
        <v>453</v>
      </c>
      <c r="E546" s="42" t="s">
        <v>74</v>
      </c>
      <c r="F546" s="44" t="s">
        <v>561</v>
      </c>
      <c r="G546" s="55"/>
      <c r="H546" s="44" t="s">
        <v>76</v>
      </c>
      <c r="J546" s="49">
        <v>1</v>
      </c>
      <c r="K546" s="45">
        <v>2.02</v>
      </c>
    </row>
    <row r="547" spans="1:14" ht="16.5" customHeight="1" x14ac:dyDescent="0.3">
      <c r="A547" s="48">
        <v>46036</v>
      </c>
      <c r="B547" s="42" t="s">
        <v>34</v>
      </c>
      <c r="D547" s="42" t="s">
        <v>453</v>
      </c>
      <c r="E547" s="42" t="s">
        <v>74</v>
      </c>
      <c r="F547" s="44" t="s">
        <v>562</v>
      </c>
      <c r="G547" s="55"/>
      <c r="H547" s="44" t="s">
        <v>76</v>
      </c>
      <c r="J547" s="49">
        <v>1</v>
      </c>
      <c r="K547" s="45">
        <v>0</v>
      </c>
      <c r="L547" s="45" t="s">
        <v>574</v>
      </c>
    </row>
    <row r="548" spans="1:14" ht="16.5" customHeight="1" x14ac:dyDescent="0.3">
      <c r="A548" s="48">
        <v>46036</v>
      </c>
      <c r="B548" s="42" t="s">
        <v>34</v>
      </c>
      <c r="D548" s="42" t="s">
        <v>453</v>
      </c>
      <c r="E548" s="42" t="s">
        <v>74</v>
      </c>
      <c r="F548" s="44" t="s">
        <v>563</v>
      </c>
      <c r="G548" s="55"/>
      <c r="H548" s="44" t="s">
        <v>76</v>
      </c>
      <c r="J548" s="49">
        <v>1</v>
      </c>
      <c r="K548" s="45">
        <v>0</v>
      </c>
      <c r="L548" s="45" t="s">
        <v>574</v>
      </c>
    </row>
    <row r="549" spans="1:14" ht="16.5" customHeight="1" x14ac:dyDescent="0.3">
      <c r="A549" s="48">
        <v>46036</v>
      </c>
      <c r="B549" s="42" t="s">
        <v>34</v>
      </c>
      <c r="D549" s="42" t="s">
        <v>453</v>
      </c>
      <c r="E549" s="42" t="s">
        <v>74</v>
      </c>
      <c r="F549" s="44" t="s">
        <v>191</v>
      </c>
      <c r="G549" s="55"/>
      <c r="H549" s="44" t="s">
        <v>76</v>
      </c>
      <c r="J549" s="49">
        <v>1</v>
      </c>
      <c r="K549" s="45">
        <v>0</v>
      </c>
      <c r="L549" s="45" t="s">
        <v>568</v>
      </c>
    </row>
    <row r="550" spans="1:14" ht="16.5" customHeight="1" x14ac:dyDescent="0.3">
      <c r="A550" s="48">
        <v>46036</v>
      </c>
      <c r="B550" s="42" t="s">
        <v>34</v>
      </c>
      <c r="D550" s="42" t="s">
        <v>453</v>
      </c>
      <c r="E550" s="42" t="s">
        <v>74</v>
      </c>
      <c r="F550" s="44" t="s">
        <v>192</v>
      </c>
      <c r="G550" s="55"/>
      <c r="H550" s="44" t="s">
        <v>76</v>
      </c>
      <c r="J550" s="49">
        <v>1</v>
      </c>
      <c r="K550" s="45">
        <v>10.48</v>
      </c>
    </row>
    <row r="551" spans="1:14" ht="16.5" customHeight="1" x14ac:dyDescent="0.3">
      <c r="A551" s="48">
        <v>46036</v>
      </c>
      <c r="B551" s="42" t="s">
        <v>34</v>
      </c>
      <c r="D551" s="42" t="s">
        <v>453</v>
      </c>
      <c r="E551" s="42" t="s">
        <v>74</v>
      </c>
      <c r="F551" s="44" t="s">
        <v>193</v>
      </c>
      <c r="G551" s="55"/>
      <c r="H551" s="44" t="s">
        <v>76</v>
      </c>
      <c r="J551" s="49">
        <v>1</v>
      </c>
      <c r="K551" s="45">
        <v>21.8</v>
      </c>
    </row>
    <row r="552" spans="1:14" ht="16.5" customHeight="1" x14ac:dyDescent="0.3">
      <c r="A552" s="48">
        <v>46036</v>
      </c>
      <c r="B552" s="42" t="s">
        <v>34</v>
      </c>
      <c r="D552" s="42" t="s">
        <v>453</v>
      </c>
      <c r="E552" s="42" t="s">
        <v>74</v>
      </c>
      <c r="F552" s="44" t="s">
        <v>194</v>
      </c>
      <c r="G552" s="55"/>
      <c r="H552" s="44" t="s">
        <v>76</v>
      </c>
      <c r="J552" s="49">
        <v>1</v>
      </c>
      <c r="K552" s="45">
        <v>0</v>
      </c>
      <c r="L552" s="45" t="s">
        <v>208</v>
      </c>
    </row>
    <row r="553" spans="1:14" ht="16.5" customHeight="1" x14ac:dyDescent="0.3">
      <c r="A553" s="48">
        <v>46036</v>
      </c>
      <c r="B553" s="42" t="s">
        <v>34</v>
      </c>
      <c r="D553" s="42" t="s">
        <v>453</v>
      </c>
      <c r="E553" s="42" t="s">
        <v>209</v>
      </c>
      <c r="F553" s="44" t="s">
        <v>712</v>
      </c>
      <c r="J553" s="49">
        <v>1</v>
      </c>
      <c r="K553" s="45">
        <v>0.5</v>
      </c>
    </row>
    <row r="554" spans="1:14" ht="16.5" customHeight="1" x14ac:dyDescent="0.3">
      <c r="A554" s="48">
        <v>46036</v>
      </c>
      <c r="B554" s="42" t="s">
        <v>34</v>
      </c>
      <c r="D554" s="42" t="s">
        <v>453</v>
      </c>
      <c r="E554" s="42" t="s">
        <v>209</v>
      </c>
      <c r="F554" s="44" t="s">
        <v>713</v>
      </c>
      <c r="J554" s="49">
        <v>1</v>
      </c>
      <c r="K554" s="45">
        <v>0.5</v>
      </c>
    </row>
    <row r="555" spans="1:14" ht="16.5" customHeight="1" x14ac:dyDescent="0.3">
      <c r="A555" s="48">
        <v>46036</v>
      </c>
      <c r="B555" s="42" t="s">
        <v>34</v>
      </c>
      <c r="D555" s="42" t="s">
        <v>453</v>
      </c>
      <c r="E555" s="42" t="s">
        <v>209</v>
      </c>
      <c r="F555" s="44" t="s">
        <v>714</v>
      </c>
      <c r="J555" s="49">
        <v>1</v>
      </c>
      <c r="K555" s="45">
        <v>0.6</v>
      </c>
    </row>
    <row r="556" spans="1:14" ht="16.5" customHeight="1" x14ac:dyDescent="0.3">
      <c r="A556" s="48">
        <v>46036</v>
      </c>
      <c r="B556" s="42" t="s">
        <v>34</v>
      </c>
      <c r="D556" s="42" t="s">
        <v>453</v>
      </c>
      <c r="E556" s="42" t="s">
        <v>209</v>
      </c>
      <c r="F556" s="44" t="s">
        <v>715</v>
      </c>
      <c r="J556" s="49">
        <v>35</v>
      </c>
      <c r="K556" s="45">
        <v>35</v>
      </c>
    </row>
    <row r="557" spans="1:14" ht="16.5" customHeight="1" x14ac:dyDescent="0.3">
      <c r="A557" s="48">
        <v>46036</v>
      </c>
      <c r="B557" s="42" t="s">
        <v>34</v>
      </c>
      <c r="D557" s="42" t="s">
        <v>453</v>
      </c>
      <c r="E557" s="42" t="s">
        <v>209</v>
      </c>
      <c r="F557" s="44" t="s">
        <v>716</v>
      </c>
      <c r="J557" s="49">
        <v>35</v>
      </c>
      <c r="K557" s="45">
        <v>42</v>
      </c>
    </row>
    <row r="558" spans="1:14" ht="16.5" customHeight="1" x14ac:dyDescent="0.3">
      <c r="A558" s="48">
        <v>46036</v>
      </c>
      <c r="B558" s="42" t="s">
        <v>34</v>
      </c>
      <c r="D558" s="42" t="s">
        <v>453</v>
      </c>
      <c r="E558" s="42" t="s">
        <v>209</v>
      </c>
      <c r="F558" s="44" t="s">
        <v>717</v>
      </c>
      <c r="J558" s="49">
        <v>35</v>
      </c>
      <c r="K558" s="45">
        <v>17.5</v>
      </c>
    </row>
    <row r="559" spans="1:14" ht="16.5" customHeight="1" x14ac:dyDescent="0.3">
      <c r="A559" s="48">
        <v>46036</v>
      </c>
      <c r="B559" s="42" t="s">
        <v>34</v>
      </c>
      <c r="D559" s="42" t="s">
        <v>453</v>
      </c>
      <c r="E559" s="42" t="s">
        <v>209</v>
      </c>
      <c r="F559" s="44" t="s">
        <v>718</v>
      </c>
      <c r="J559" s="49">
        <v>35</v>
      </c>
      <c r="K559" s="45">
        <v>3.5</v>
      </c>
    </row>
    <row r="560" spans="1:14" ht="16.5" customHeight="1" x14ac:dyDescent="0.3">
      <c r="A560" s="48">
        <v>46036</v>
      </c>
      <c r="B560" s="42" t="s">
        <v>34</v>
      </c>
      <c r="D560" s="42" t="s">
        <v>453</v>
      </c>
      <c r="E560" s="42" t="s">
        <v>209</v>
      </c>
      <c r="F560" s="44" t="s">
        <v>210</v>
      </c>
      <c r="J560" s="49">
        <v>1</v>
      </c>
      <c r="K560" s="45">
        <v>0.8</v>
      </c>
      <c r="M560" s="58"/>
      <c r="N560" s="58"/>
    </row>
    <row r="561" spans="1:14" ht="16.5" customHeight="1" x14ac:dyDescent="0.3">
      <c r="A561" s="48">
        <v>46036</v>
      </c>
      <c r="B561" s="42" t="s">
        <v>34</v>
      </c>
      <c r="D561" s="42" t="s">
        <v>453</v>
      </c>
      <c r="E561" s="42" t="s">
        <v>209</v>
      </c>
      <c r="F561" s="44" t="s">
        <v>211</v>
      </c>
      <c r="J561" s="49">
        <v>1</v>
      </c>
      <c r="K561" s="45">
        <v>0.8</v>
      </c>
    </row>
    <row r="562" spans="1:14" ht="16.5" customHeight="1" x14ac:dyDescent="0.3">
      <c r="A562" s="48">
        <v>46036</v>
      </c>
      <c r="B562" s="42" t="s">
        <v>34</v>
      </c>
      <c r="D562" s="42" t="s">
        <v>453</v>
      </c>
      <c r="E562" s="42" t="s">
        <v>209</v>
      </c>
      <c r="F562" s="44" t="s">
        <v>212</v>
      </c>
      <c r="J562" s="49">
        <v>1</v>
      </c>
      <c r="K562" s="45">
        <v>0.8</v>
      </c>
      <c r="M562" s="58"/>
      <c r="N562" s="58"/>
    </row>
    <row r="563" spans="1:14" ht="16.5" customHeight="1" x14ac:dyDescent="0.3">
      <c r="A563" s="48">
        <v>46036</v>
      </c>
      <c r="B563" s="42" t="s">
        <v>34</v>
      </c>
      <c r="D563" s="42" t="s">
        <v>453</v>
      </c>
      <c r="E563" s="42" t="s">
        <v>209</v>
      </c>
      <c r="F563" s="44" t="s">
        <v>213</v>
      </c>
      <c r="J563" s="49">
        <v>1</v>
      </c>
      <c r="K563" s="45">
        <v>0.7</v>
      </c>
    </row>
    <row r="564" spans="1:14" ht="16.5" customHeight="1" x14ac:dyDescent="0.3">
      <c r="A564" s="48">
        <v>46036</v>
      </c>
      <c r="B564" s="42" t="s">
        <v>34</v>
      </c>
      <c r="D564" s="42" t="s">
        <v>453</v>
      </c>
      <c r="E564" s="42" t="s">
        <v>209</v>
      </c>
      <c r="F564" s="44" t="s">
        <v>214</v>
      </c>
      <c r="J564" s="49">
        <v>1</v>
      </c>
      <c r="K564" s="45">
        <v>0.1</v>
      </c>
    </row>
    <row r="565" spans="1:14" ht="16.5" customHeight="1" x14ac:dyDescent="0.3">
      <c r="A565" s="48">
        <v>46036</v>
      </c>
      <c r="B565" s="42" t="s">
        <v>34</v>
      </c>
      <c r="D565" s="42" t="s">
        <v>453</v>
      </c>
      <c r="E565" s="42" t="s">
        <v>209</v>
      </c>
      <c r="F565" s="44" t="s">
        <v>215</v>
      </c>
      <c r="J565" s="49">
        <v>1</v>
      </c>
      <c r="K565" s="45">
        <v>0.8</v>
      </c>
    </row>
    <row r="566" spans="1:14" ht="16.5" customHeight="1" x14ac:dyDescent="0.3">
      <c r="A566" s="48">
        <v>46036</v>
      </c>
      <c r="B566" s="42" t="s">
        <v>34</v>
      </c>
      <c r="D566" s="42" t="s">
        <v>453</v>
      </c>
      <c r="E566" s="42" t="s">
        <v>209</v>
      </c>
      <c r="F566" s="44" t="s">
        <v>216</v>
      </c>
      <c r="J566" s="49">
        <v>1</v>
      </c>
      <c r="K566" s="45">
        <v>0.8</v>
      </c>
    </row>
    <row r="567" spans="1:14" ht="16.5" customHeight="1" x14ac:dyDescent="0.3">
      <c r="A567" s="48">
        <v>46036</v>
      </c>
      <c r="B567" s="42" t="s">
        <v>34</v>
      </c>
      <c r="D567" s="42" t="s">
        <v>453</v>
      </c>
      <c r="E567" s="42" t="s">
        <v>209</v>
      </c>
      <c r="F567" s="44" t="s">
        <v>217</v>
      </c>
      <c r="J567" s="49">
        <v>1</v>
      </c>
      <c r="K567" s="45">
        <v>0.8</v>
      </c>
    </row>
    <row r="568" spans="1:14" ht="16.5" customHeight="1" x14ac:dyDescent="0.3">
      <c r="A568" s="48">
        <v>46036</v>
      </c>
      <c r="B568" s="42" t="s">
        <v>34</v>
      </c>
      <c r="D568" s="42" t="s">
        <v>453</v>
      </c>
      <c r="E568" s="42" t="s">
        <v>209</v>
      </c>
      <c r="F568" s="44" t="s">
        <v>218</v>
      </c>
      <c r="J568" s="49">
        <v>1</v>
      </c>
      <c r="K568" s="45">
        <v>0.7</v>
      </c>
    </row>
    <row r="569" spans="1:14" ht="16.5" customHeight="1" x14ac:dyDescent="0.3">
      <c r="A569" s="48">
        <v>46036</v>
      </c>
      <c r="B569" s="42" t="s">
        <v>34</v>
      </c>
      <c r="D569" s="42" t="s">
        <v>453</v>
      </c>
      <c r="E569" s="42" t="s">
        <v>209</v>
      </c>
      <c r="F569" s="44" t="s">
        <v>219</v>
      </c>
      <c r="J569" s="49">
        <v>1</v>
      </c>
      <c r="K569" s="45">
        <v>0.7</v>
      </c>
    </row>
    <row r="570" spans="1:14" ht="16.5" customHeight="1" x14ac:dyDescent="0.3">
      <c r="A570" s="48">
        <v>46036</v>
      </c>
      <c r="B570" s="42" t="s">
        <v>34</v>
      </c>
      <c r="D570" s="42" t="s">
        <v>453</v>
      </c>
      <c r="E570" s="42" t="s">
        <v>209</v>
      </c>
      <c r="F570" s="44" t="s">
        <v>220</v>
      </c>
      <c r="J570" s="49">
        <v>1</v>
      </c>
      <c r="K570" s="45">
        <v>0.8</v>
      </c>
    </row>
    <row r="571" spans="1:14" ht="16.5" customHeight="1" x14ac:dyDescent="0.3">
      <c r="A571" s="48">
        <v>46036</v>
      </c>
      <c r="B571" s="42" t="s">
        <v>34</v>
      </c>
      <c r="D571" s="42" t="s">
        <v>453</v>
      </c>
      <c r="E571" s="42" t="s">
        <v>209</v>
      </c>
      <c r="F571" s="44" t="s">
        <v>221</v>
      </c>
      <c r="J571" s="49">
        <v>1</v>
      </c>
      <c r="K571" s="45">
        <v>0.8</v>
      </c>
    </row>
    <row r="572" spans="1:14" ht="16.5" customHeight="1" x14ac:dyDescent="0.3">
      <c r="A572" s="48">
        <v>46036</v>
      </c>
      <c r="B572" s="42" t="s">
        <v>34</v>
      </c>
      <c r="D572" s="42" t="s">
        <v>453</v>
      </c>
      <c r="E572" s="42" t="s">
        <v>209</v>
      </c>
      <c r="F572" s="44" t="s">
        <v>222</v>
      </c>
      <c r="J572" s="49">
        <v>1</v>
      </c>
      <c r="K572" s="45">
        <v>0.8</v>
      </c>
    </row>
    <row r="573" spans="1:14" ht="16.5" customHeight="1" x14ac:dyDescent="0.3">
      <c r="A573" s="48">
        <v>46036</v>
      </c>
      <c r="B573" s="42" t="s">
        <v>34</v>
      </c>
      <c r="D573" s="42" t="s">
        <v>453</v>
      </c>
      <c r="E573" s="42" t="s">
        <v>209</v>
      </c>
      <c r="F573" s="44" t="s">
        <v>223</v>
      </c>
      <c r="J573" s="49">
        <v>1</v>
      </c>
      <c r="K573" s="45">
        <v>0.8</v>
      </c>
    </row>
    <row r="574" spans="1:14" ht="16.5" customHeight="1" x14ac:dyDescent="0.3">
      <c r="A574" s="48">
        <v>46036</v>
      </c>
      <c r="B574" s="42" t="s">
        <v>34</v>
      </c>
      <c r="D574" s="42" t="s">
        <v>453</v>
      </c>
      <c r="E574" s="42" t="s">
        <v>209</v>
      </c>
      <c r="F574" s="44" t="s">
        <v>224</v>
      </c>
      <c r="J574" s="49">
        <v>1</v>
      </c>
      <c r="K574" s="45">
        <v>0.1</v>
      </c>
    </row>
    <row r="575" spans="1:14" ht="16.5" customHeight="1" x14ac:dyDescent="0.3">
      <c r="A575" s="48">
        <v>46036</v>
      </c>
      <c r="B575" s="42" t="s">
        <v>34</v>
      </c>
      <c r="D575" s="42" t="s">
        <v>453</v>
      </c>
      <c r="E575" s="42" t="s">
        <v>209</v>
      </c>
      <c r="F575" s="44" t="s">
        <v>225</v>
      </c>
      <c r="I575" s="40"/>
      <c r="J575" s="49">
        <v>1</v>
      </c>
      <c r="K575" s="45">
        <v>0.6</v>
      </c>
    </row>
    <row r="576" spans="1:14" ht="16.5" customHeight="1" x14ac:dyDescent="0.3">
      <c r="A576" s="48">
        <v>46036</v>
      </c>
      <c r="B576" s="42" t="s">
        <v>34</v>
      </c>
      <c r="D576" s="42" t="s">
        <v>453</v>
      </c>
      <c r="E576" s="42" t="s">
        <v>209</v>
      </c>
      <c r="F576" s="44" t="s">
        <v>226</v>
      </c>
      <c r="I576" s="40"/>
      <c r="J576" s="49">
        <v>1</v>
      </c>
      <c r="K576" s="45">
        <v>0.9</v>
      </c>
    </row>
    <row r="577" spans="1:14" ht="16.5" customHeight="1" x14ac:dyDescent="0.3">
      <c r="A577" s="48">
        <v>46036</v>
      </c>
      <c r="B577" s="42" t="s">
        <v>34</v>
      </c>
      <c r="D577" s="42" t="s">
        <v>453</v>
      </c>
      <c r="E577" s="42" t="s">
        <v>209</v>
      </c>
      <c r="F577" s="44" t="s">
        <v>227</v>
      </c>
      <c r="I577" s="40"/>
      <c r="J577" s="49">
        <v>1</v>
      </c>
      <c r="K577" s="45">
        <v>1.3</v>
      </c>
    </row>
    <row r="578" spans="1:14" ht="16.5" customHeight="1" x14ac:dyDescent="0.3">
      <c r="A578" s="48">
        <v>46036</v>
      </c>
      <c r="B578" s="42" t="s">
        <v>34</v>
      </c>
      <c r="D578" s="42" t="s">
        <v>453</v>
      </c>
      <c r="E578" s="42" t="s">
        <v>209</v>
      </c>
      <c r="F578" s="44" t="s">
        <v>228</v>
      </c>
      <c r="I578" s="40"/>
      <c r="J578" s="49">
        <v>1</v>
      </c>
      <c r="K578" s="45">
        <v>1</v>
      </c>
    </row>
    <row r="579" spans="1:14" ht="16.5" customHeight="1" x14ac:dyDescent="0.3">
      <c r="A579" s="48">
        <v>46036</v>
      </c>
      <c r="B579" s="42" t="s">
        <v>34</v>
      </c>
      <c r="D579" s="42" t="s">
        <v>453</v>
      </c>
      <c r="E579" s="42" t="s">
        <v>209</v>
      </c>
      <c r="F579" s="44" t="s">
        <v>229</v>
      </c>
      <c r="I579" s="40"/>
      <c r="J579" s="49">
        <v>1</v>
      </c>
      <c r="K579" s="45">
        <v>0.8</v>
      </c>
    </row>
    <row r="580" spans="1:14" ht="16.5" customHeight="1" x14ac:dyDescent="0.3">
      <c r="A580" s="48">
        <v>46036</v>
      </c>
      <c r="B580" s="42" t="s">
        <v>34</v>
      </c>
      <c r="D580" s="42" t="s">
        <v>453</v>
      </c>
      <c r="E580" s="42" t="s">
        <v>209</v>
      </c>
      <c r="F580" s="44" t="s">
        <v>230</v>
      </c>
      <c r="I580" s="40"/>
      <c r="J580" s="49">
        <v>1</v>
      </c>
      <c r="K580" s="45">
        <v>0.6</v>
      </c>
    </row>
    <row r="581" spans="1:14" ht="16.5" customHeight="1" x14ac:dyDescent="0.3">
      <c r="A581" s="48">
        <v>46036</v>
      </c>
      <c r="B581" s="42" t="s">
        <v>34</v>
      </c>
      <c r="D581" s="42" t="s">
        <v>453</v>
      </c>
      <c r="E581" s="42" t="s">
        <v>209</v>
      </c>
      <c r="F581" s="44" t="s">
        <v>231</v>
      </c>
      <c r="I581" s="40"/>
      <c r="J581" s="49">
        <v>1</v>
      </c>
      <c r="K581" s="45">
        <v>0.8</v>
      </c>
    </row>
    <row r="582" spans="1:14" ht="16.5" customHeight="1" x14ac:dyDescent="0.3">
      <c r="A582" s="48">
        <v>46036</v>
      </c>
      <c r="B582" s="42" t="s">
        <v>34</v>
      </c>
      <c r="D582" s="42" t="s">
        <v>453</v>
      </c>
      <c r="E582" s="42" t="s">
        <v>209</v>
      </c>
      <c r="F582" s="44" t="s">
        <v>232</v>
      </c>
      <c r="I582" s="40"/>
      <c r="J582" s="49">
        <v>1</v>
      </c>
      <c r="K582" s="45">
        <v>0.9</v>
      </c>
    </row>
    <row r="583" spans="1:14" ht="16.5" customHeight="1" x14ac:dyDescent="0.3">
      <c r="A583" s="48">
        <v>46036</v>
      </c>
      <c r="B583" s="42" t="s">
        <v>34</v>
      </c>
      <c r="D583" s="42" t="s">
        <v>453</v>
      </c>
      <c r="E583" s="42" t="s">
        <v>209</v>
      </c>
      <c r="F583" s="44" t="s">
        <v>233</v>
      </c>
      <c r="I583" s="40"/>
      <c r="J583" s="49">
        <v>1</v>
      </c>
      <c r="K583" s="45">
        <v>1</v>
      </c>
      <c r="M583" s="58"/>
      <c r="N583" s="58"/>
    </row>
    <row r="584" spans="1:14" ht="16.5" customHeight="1" x14ac:dyDescent="0.3">
      <c r="A584" s="48">
        <v>46036</v>
      </c>
      <c r="B584" s="42" t="s">
        <v>34</v>
      </c>
      <c r="D584" s="42" t="s">
        <v>453</v>
      </c>
      <c r="E584" s="42" t="s">
        <v>209</v>
      </c>
      <c r="F584" s="44" t="s">
        <v>234</v>
      </c>
      <c r="I584" s="40"/>
      <c r="J584" s="49">
        <v>1</v>
      </c>
      <c r="K584" s="45">
        <v>1</v>
      </c>
      <c r="M584" s="58"/>
      <c r="N584" s="58"/>
    </row>
    <row r="585" spans="1:14" ht="16.5" customHeight="1" x14ac:dyDescent="0.3">
      <c r="A585" s="48">
        <v>46036</v>
      </c>
      <c r="B585" s="42" t="s">
        <v>34</v>
      </c>
      <c r="D585" s="42" t="s">
        <v>453</v>
      </c>
      <c r="E585" s="42" t="s">
        <v>209</v>
      </c>
      <c r="F585" s="44" t="s">
        <v>235</v>
      </c>
      <c r="I585" s="40"/>
      <c r="J585" s="49">
        <v>1</v>
      </c>
      <c r="K585" s="45">
        <v>1.1000000000000001</v>
      </c>
    </row>
    <row r="586" spans="1:14" ht="16.5" customHeight="1" x14ac:dyDescent="0.3">
      <c r="A586" s="48">
        <v>46036</v>
      </c>
      <c r="B586" s="42" t="s">
        <v>34</v>
      </c>
      <c r="D586" s="42" t="s">
        <v>453</v>
      </c>
      <c r="E586" s="42" t="s">
        <v>209</v>
      </c>
      <c r="F586" s="44" t="s">
        <v>236</v>
      </c>
      <c r="I586" s="40"/>
      <c r="J586" s="49">
        <v>1</v>
      </c>
      <c r="K586" s="45">
        <v>0.8</v>
      </c>
    </row>
    <row r="587" spans="1:14" ht="16.5" customHeight="1" x14ac:dyDescent="0.3">
      <c r="A587" s="48">
        <v>46036</v>
      </c>
      <c r="B587" s="42" t="s">
        <v>34</v>
      </c>
      <c r="D587" s="42" t="s">
        <v>453</v>
      </c>
      <c r="E587" s="42" t="s">
        <v>209</v>
      </c>
      <c r="F587" s="44" t="s">
        <v>237</v>
      </c>
      <c r="I587" s="40"/>
      <c r="J587" s="49">
        <v>1</v>
      </c>
      <c r="K587" s="45">
        <v>0.8</v>
      </c>
    </row>
    <row r="588" spans="1:14" ht="16.5" customHeight="1" x14ac:dyDescent="0.3">
      <c r="A588" s="48">
        <v>46036</v>
      </c>
      <c r="B588" s="42" t="s">
        <v>34</v>
      </c>
      <c r="D588" s="42" t="s">
        <v>453</v>
      </c>
      <c r="E588" s="42" t="s">
        <v>209</v>
      </c>
      <c r="F588" s="44" t="s">
        <v>238</v>
      </c>
      <c r="I588" s="40"/>
      <c r="J588" s="49">
        <v>1</v>
      </c>
      <c r="K588" s="45">
        <v>0.6</v>
      </c>
    </row>
    <row r="589" spans="1:14" ht="16.5" customHeight="1" x14ac:dyDescent="0.3">
      <c r="A589" s="48">
        <v>46036</v>
      </c>
      <c r="B589" s="42" t="s">
        <v>34</v>
      </c>
      <c r="D589" s="42" t="s">
        <v>453</v>
      </c>
      <c r="E589" s="42" t="s">
        <v>209</v>
      </c>
      <c r="F589" s="44" t="s">
        <v>239</v>
      </c>
      <c r="I589" s="40"/>
      <c r="J589" s="49">
        <v>1</v>
      </c>
      <c r="K589" s="45">
        <v>0.1</v>
      </c>
    </row>
    <row r="590" spans="1:14" ht="16.5" customHeight="1" x14ac:dyDescent="0.3">
      <c r="A590" s="48">
        <v>46036</v>
      </c>
      <c r="B590" s="42" t="s">
        <v>34</v>
      </c>
      <c r="D590" s="42" t="s">
        <v>453</v>
      </c>
      <c r="E590" s="42" t="s">
        <v>209</v>
      </c>
      <c r="F590" s="44" t="s">
        <v>240</v>
      </c>
      <c r="I590" s="40"/>
      <c r="J590" s="49">
        <v>1</v>
      </c>
      <c r="K590" s="45">
        <v>0.6</v>
      </c>
    </row>
    <row r="591" spans="1:14" ht="16.5" customHeight="1" x14ac:dyDescent="0.3">
      <c r="A591" s="48">
        <v>46036</v>
      </c>
      <c r="B591" s="42" t="s">
        <v>34</v>
      </c>
      <c r="D591" s="42" t="s">
        <v>453</v>
      </c>
      <c r="E591" s="42" t="s">
        <v>209</v>
      </c>
      <c r="F591" s="44" t="s">
        <v>241</v>
      </c>
      <c r="I591" s="40"/>
      <c r="J591" s="49">
        <v>1</v>
      </c>
      <c r="K591" s="45">
        <v>0.4</v>
      </c>
    </row>
    <row r="592" spans="1:14" ht="16.5" customHeight="1" x14ac:dyDescent="0.3">
      <c r="A592" s="48">
        <v>46036</v>
      </c>
      <c r="B592" s="42" t="s">
        <v>34</v>
      </c>
      <c r="D592" s="42" t="s">
        <v>453</v>
      </c>
      <c r="E592" s="42" t="s">
        <v>209</v>
      </c>
      <c r="F592" s="44" t="s">
        <v>242</v>
      </c>
      <c r="I592" s="40"/>
      <c r="J592" s="49">
        <v>1</v>
      </c>
      <c r="K592" s="45">
        <v>1.4</v>
      </c>
    </row>
    <row r="593" spans="1:14" ht="16.5" customHeight="1" x14ac:dyDescent="0.3">
      <c r="A593" s="48">
        <v>46036</v>
      </c>
      <c r="B593" s="42" t="s">
        <v>34</v>
      </c>
      <c r="D593" s="42" t="s">
        <v>453</v>
      </c>
      <c r="E593" s="42" t="s">
        <v>209</v>
      </c>
      <c r="F593" s="44" t="s">
        <v>243</v>
      </c>
      <c r="I593" s="40"/>
      <c r="J593" s="49">
        <v>1</v>
      </c>
      <c r="K593" s="45">
        <v>0.1</v>
      </c>
    </row>
    <row r="594" spans="1:14" ht="16.5" customHeight="1" x14ac:dyDescent="0.3">
      <c r="A594" s="48">
        <v>46036</v>
      </c>
      <c r="B594" s="42" t="s">
        <v>34</v>
      </c>
      <c r="D594" s="42" t="s">
        <v>453</v>
      </c>
      <c r="E594" s="42" t="s">
        <v>209</v>
      </c>
      <c r="F594" s="44" t="s">
        <v>244</v>
      </c>
      <c r="I594" s="40"/>
      <c r="J594" s="49">
        <v>1</v>
      </c>
      <c r="K594" s="45">
        <v>1.5</v>
      </c>
    </row>
    <row r="595" spans="1:14" ht="16.5" customHeight="1" x14ac:dyDescent="0.3">
      <c r="A595" s="48">
        <v>46036</v>
      </c>
      <c r="B595" s="42" t="s">
        <v>34</v>
      </c>
      <c r="D595" s="42" t="s">
        <v>453</v>
      </c>
      <c r="E595" s="42" t="s">
        <v>209</v>
      </c>
      <c r="F595" s="44" t="s">
        <v>245</v>
      </c>
      <c r="I595" s="40"/>
      <c r="J595" s="49">
        <v>1</v>
      </c>
      <c r="K595" s="45">
        <v>1.5</v>
      </c>
    </row>
    <row r="596" spans="1:14" ht="16.5" customHeight="1" x14ac:dyDescent="0.3">
      <c r="A596" s="48">
        <v>46036</v>
      </c>
      <c r="B596" s="42" t="s">
        <v>34</v>
      </c>
      <c r="D596" s="42" t="s">
        <v>453</v>
      </c>
      <c r="E596" s="42" t="s">
        <v>209</v>
      </c>
      <c r="F596" s="44" t="s">
        <v>246</v>
      </c>
      <c r="I596" s="40"/>
      <c r="J596" s="49">
        <v>1</v>
      </c>
      <c r="K596" s="45">
        <v>0.8</v>
      </c>
    </row>
    <row r="597" spans="1:14" ht="16.5" customHeight="1" x14ac:dyDescent="0.3">
      <c r="A597" s="48">
        <v>46036</v>
      </c>
      <c r="B597" s="42" t="s">
        <v>34</v>
      </c>
      <c r="D597" s="42" t="s">
        <v>453</v>
      </c>
      <c r="E597" s="42" t="s">
        <v>209</v>
      </c>
      <c r="F597" s="44" t="s">
        <v>247</v>
      </c>
      <c r="J597" s="49">
        <v>1</v>
      </c>
      <c r="K597" s="45">
        <v>0.3</v>
      </c>
    </row>
    <row r="598" spans="1:14" ht="16.5" customHeight="1" x14ac:dyDescent="0.3">
      <c r="A598" s="48">
        <v>46036</v>
      </c>
      <c r="B598" s="42" t="s">
        <v>34</v>
      </c>
      <c r="D598" s="42" t="s">
        <v>453</v>
      </c>
      <c r="E598" s="42" t="s">
        <v>209</v>
      </c>
      <c r="F598" s="44" t="s">
        <v>248</v>
      </c>
      <c r="J598" s="49">
        <v>1</v>
      </c>
      <c r="K598" s="45">
        <v>7.2</v>
      </c>
      <c r="M598" s="54"/>
      <c r="N598" s="54"/>
    </row>
    <row r="599" spans="1:14" ht="16.5" customHeight="1" x14ac:dyDescent="0.3">
      <c r="A599" s="48">
        <v>46036</v>
      </c>
      <c r="B599" s="42" t="s">
        <v>34</v>
      </c>
      <c r="D599" s="42" t="s">
        <v>453</v>
      </c>
      <c r="E599" s="42" t="s">
        <v>209</v>
      </c>
      <c r="F599" s="44" t="s">
        <v>249</v>
      </c>
      <c r="J599" s="49">
        <v>1</v>
      </c>
      <c r="K599" s="45">
        <v>0.2</v>
      </c>
      <c r="M599" s="54"/>
      <c r="N599" s="54"/>
    </row>
    <row r="600" spans="1:14" ht="16.5" customHeight="1" x14ac:dyDescent="0.3">
      <c r="A600" s="48">
        <v>46036</v>
      </c>
      <c r="B600" s="42" t="s">
        <v>34</v>
      </c>
      <c r="D600" s="42" t="s">
        <v>453</v>
      </c>
      <c r="E600" s="42" t="s">
        <v>209</v>
      </c>
      <c r="F600" s="44" t="s">
        <v>250</v>
      </c>
      <c r="J600" s="49">
        <v>1</v>
      </c>
      <c r="K600" s="45">
        <v>1.9</v>
      </c>
      <c r="M600" s="54"/>
      <c r="N600" s="54"/>
    </row>
    <row r="601" spans="1:14" ht="16.5" customHeight="1" x14ac:dyDescent="0.3">
      <c r="A601" s="48">
        <v>46036</v>
      </c>
      <c r="B601" s="42" t="s">
        <v>34</v>
      </c>
      <c r="D601" s="42" t="s">
        <v>453</v>
      </c>
      <c r="E601" s="42" t="s">
        <v>209</v>
      </c>
      <c r="F601" s="44" t="s">
        <v>251</v>
      </c>
      <c r="J601" s="49">
        <v>1</v>
      </c>
      <c r="K601" s="45">
        <v>1.7</v>
      </c>
      <c r="M601" s="62"/>
      <c r="N601" s="62"/>
    </row>
    <row r="602" spans="1:14" ht="16.5" customHeight="1" x14ac:dyDescent="0.3">
      <c r="A602" s="48">
        <v>46036</v>
      </c>
      <c r="B602" s="42" t="s">
        <v>34</v>
      </c>
      <c r="D602" s="42" t="s">
        <v>453</v>
      </c>
      <c r="E602" s="42" t="s">
        <v>209</v>
      </c>
      <c r="F602" s="44" t="s">
        <v>252</v>
      </c>
      <c r="J602" s="49">
        <v>1</v>
      </c>
      <c r="K602" s="45">
        <v>2.6</v>
      </c>
    </row>
    <row r="603" spans="1:14" ht="16.5" customHeight="1" x14ac:dyDescent="0.3">
      <c r="A603" s="48">
        <v>46036</v>
      </c>
      <c r="B603" s="42" t="s">
        <v>34</v>
      </c>
      <c r="D603" s="42" t="s">
        <v>453</v>
      </c>
      <c r="E603" s="42" t="s">
        <v>209</v>
      </c>
      <c r="F603" s="44" t="s">
        <v>253</v>
      </c>
      <c r="J603" s="49">
        <v>1</v>
      </c>
      <c r="K603" s="45">
        <v>1.4</v>
      </c>
    </row>
    <row r="604" spans="1:14" ht="16.5" customHeight="1" x14ac:dyDescent="0.3">
      <c r="A604" s="48">
        <v>46036</v>
      </c>
      <c r="B604" s="42" t="s">
        <v>34</v>
      </c>
      <c r="D604" s="42" t="s">
        <v>453</v>
      </c>
      <c r="E604" s="42" t="s">
        <v>209</v>
      </c>
      <c r="F604" s="44" t="s">
        <v>254</v>
      </c>
      <c r="J604" s="49">
        <v>1</v>
      </c>
      <c r="K604" s="45">
        <v>3.4</v>
      </c>
    </row>
    <row r="605" spans="1:14" ht="16.5" customHeight="1" x14ac:dyDescent="0.3">
      <c r="A605" s="48">
        <v>46036</v>
      </c>
      <c r="B605" s="42" t="s">
        <v>34</v>
      </c>
      <c r="D605" s="42" t="s">
        <v>453</v>
      </c>
      <c r="E605" s="42" t="s">
        <v>209</v>
      </c>
      <c r="F605" s="44" t="s">
        <v>255</v>
      </c>
      <c r="J605" s="49">
        <v>1</v>
      </c>
      <c r="K605" s="45">
        <v>1.2</v>
      </c>
    </row>
    <row r="606" spans="1:14" ht="16.5" customHeight="1" x14ac:dyDescent="0.3">
      <c r="A606" s="48">
        <v>46036</v>
      </c>
      <c r="B606" s="42" t="s">
        <v>34</v>
      </c>
      <c r="D606" s="42" t="s">
        <v>453</v>
      </c>
      <c r="E606" s="42" t="s">
        <v>209</v>
      </c>
      <c r="F606" s="44" t="s">
        <v>256</v>
      </c>
      <c r="J606" s="49">
        <v>1</v>
      </c>
      <c r="K606" s="45">
        <v>7.5</v>
      </c>
    </row>
    <row r="607" spans="1:14" ht="16.5" customHeight="1" x14ac:dyDescent="0.3">
      <c r="A607" s="48">
        <v>46036</v>
      </c>
      <c r="B607" s="42" t="s">
        <v>34</v>
      </c>
      <c r="D607" s="42" t="s">
        <v>453</v>
      </c>
      <c r="E607" s="42" t="s">
        <v>209</v>
      </c>
      <c r="F607" s="44" t="s">
        <v>257</v>
      </c>
      <c r="J607" s="49">
        <v>1</v>
      </c>
      <c r="K607" s="45">
        <v>3.7</v>
      </c>
    </row>
    <row r="608" spans="1:14" ht="16.5" customHeight="1" x14ac:dyDescent="0.3">
      <c r="A608" s="48">
        <v>46036</v>
      </c>
      <c r="B608" s="42" t="s">
        <v>34</v>
      </c>
      <c r="D608" s="42" t="s">
        <v>453</v>
      </c>
      <c r="E608" s="42" t="s">
        <v>209</v>
      </c>
      <c r="F608" s="44" t="s">
        <v>258</v>
      </c>
      <c r="J608" s="49">
        <v>1</v>
      </c>
      <c r="K608" s="45">
        <v>0.9</v>
      </c>
    </row>
    <row r="609" spans="1:14" ht="16.5" customHeight="1" x14ac:dyDescent="0.3">
      <c r="A609" s="48">
        <v>46036</v>
      </c>
      <c r="B609" s="42" t="s">
        <v>34</v>
      </c>
      <c r="D609" s="42" t="s">
        <v>453</v>
      </c>
      <c r="E609" s="42" t="s">
        <v>209</v>
      </c>
      <c r="F609" s="44" t="s">
        <v>259</v>
      </c>
      <c r="J609" s="49">
        <v>1</v>
      </c>
      <c r="K609" s="45">
        <v>0.4</v>
      </c>
    </row>
    <row r="610" spans="1:14" ht="16.5" customHeight="1" x14ac:dyDescent="0.3">
      <c r="A610" s="48">
        <v>46036</v>
      </c>
      <c r="B610" s="42" t="s">
        <v>34</v>
      </c>
      <c r="D610" s="42" t="s">
        <v>453</v>
      </c>
      <c r="E610" s="42" t="s">
        <v>209</v>
      </c>
      <c r="F610" s="44" t="s">
        <v>260</v>
      </c>
      <c r="J610" s="49">
        <v>1</v>
      </c>
      <c r="K610" s="45">
        <v>1</v>
      </c>
    </row>
    <row r="611" spans="1:14" ht="16.5" customHeight="1" x14ac:dyDescent="0.3">
      <c r="A611" s="48">
        <v>46036</v>
      </c>
      <c r="B611" s="42" t="s">
        <v>34</v>
      </c>
      <c r="D611" s="42" t="s">
        <v>453</v>
      </c>
      <c r="E611" s="42" t="s">
        <v>209</v>
      </c>
      <c r="F611" s="44" t="s">
        <v>261</v>
      </c>
      <c r="J611" s="49">
        <v>1</v>
      </c>
      <c r="K611" s="45">
        <v>1.7</v>
      </c>
    </row>
    <row r="612" spans="1:14" ht="16.5" customHeight="1" x14ac:dyDescent="0.3">
      <c r="A612" s="48">
        <v>46036</v>
      </c>
      <c r="B612" s="42" t="s">
        <v>34</v>
      </c>
      <c r="D612" s="42" t="s">
        <v>453</v>
      </c>
      <c r="E612" s="42" t="s">
        <v>209</v>
      </c>
      <c r="F612" s="44" t="s">
        <v>262</v>
      </c>
      <c r="J612" s="49">
        <v>1</v>
      </c>
      <c r="K612" s="45">
        <v>2.2000000000000002</v>
      </c>
    </row>
    <row r="613" spans="1:14" ht="16.5" customHeight="1" x14ac:dyDescent="0.3">
      <c r="A613" s="48">
        <v>46036</v>
      </c>
      <c r="B613" s="42" t="s">
        <v>34</v>
      </c>
      <c r="D613" s="42" t="s">
        <v>453</v>
      </c>
      <c r="E613" s="42" t="s">
        <v>209</v>
      </c>
      <c r="F613" s="44" t="s">
        <v>263</v>
      </c>
      <c r="J613" s="49">
        <v>1</v>
      </c>
      <c r="K613" s="45">
        <v>0.2</v>
      </c>
    </row>
    <row r="614" spans="1:14" ht="16.5" customHeight="1" x14ac:dyDescent="0.3">
      <c r="A614" s="48">
        <v>46036</v>
      </c>
      <c r="B614" s="42" t="s">
        <v>34</v>
      </c>
      <c r="D614" s="42" t="s">
        <v>453</v>
      </c>
      <c r="E614" s="42" t="s">
        <v>209</v>
      </c>
      <c r="F614" s="44" t="s">
        <v>264</v>
      </c>
      <c r="J614" s="49">
        <v>1</v>
      </c>
      <c r="K614" s="45">
        <v>1.7</v>
      </c>
    </row>
    <row r="615" spans="1:14" ht="16.5" customHeight="1" x14ac:dyDescent="0.3">
      <c r="A615" s="48">
        <v>46036</v>
      </c>
      <c r="B615" s="42" t="s">
        <v>34</v>
      </c>
      <c r="D615" s="42" t="s">
        <v>453</v>
      </c>
      <c r="E615" s="42" t="s">
        <v>209</v>
      </c>
      <c r="F615" s="44" t="s">
        <v>265</v>
      </c>
      <c r="J615" s="49">
        <v>1</v>
      </c>
      <c r="K615" s="45">
        <v>1.4</v>
      </c>
    </row>
    <row r="616" spans="1:14" ht="16.5" customHeight="1" x14ac:dyDescent="0.3">
      <c r="A616" s="48">
        <v>46036</v>
      </c>
      <c r="B616" s="42" t="s">
        <v>34</v>
      </c>
      <c r="D616" s="42" t="s">
        <v>453</v>
      </c>
      <c r="E616" s="42" t="s">
        <v>209</v>
      </c>
      <c r="F616" s="44" t="s">
        <v>266</v>
      </c>
      <c r="J616" s="49">
        <v>1</v>
      </c>
      <c r="K616" s="45">
        <v>1.2</v>
      </c>
    </row>
    <row r="617" spans="1:14" ht="16.5" customHeight="1" x14ac:dyDescent="0.3">
      <c r="A617" s="48">
        <v>46036</v>
      </c>
      <c r="B617" s="42" t="s">
        <v>34</v>
      </c>
      <c r="D617" s="42" t="s">
        <v>453</v>
      </c>
      <c r="E617" s="42" t="s">
        <v>209</v>
      </c>
      <c r="F617" s="44" t="s">
        <v>267</v>
      </c>
      <c r="J617" s="49">
        <v>1</v>
      </c>
      <c r="K617" s="45">
        <v>1.2</v>
      </c>
    </row>
    <row r="618" spans="1:14" ht="16.5" customHeight="1" x14ac:dyDescent="0.3">
      <c r="A618" s="48">
        <v>46036</v>
      </c>
      <c r="B618" s="42" t="s">
        <v>34</v>
      </c>
      <c r="D618" s="42" t="s">
        <v>453</v>
      </c>
      <c r="E618" s="42" t="s">
        <v>209</v>
      </c>
      <c r="F618" s="44" t="s">
        <v>268</v>
      </c>
      <c r="J618" s="49">
        <v>1</v>
      </c>
      <c r="K618" s="45">
        <v>1.7</v>
      </c>
    </row>
    <row r="619" spans="1:14" ht="16.5" customHeight="1" x14ac:dyDescent="0.3">
      <c r="A619" s="48">
        <v>46036</v>
      </c>
      <c r="B619" s="42" t="s">
        <v>34</v>
      </c>
      <c r="D619" s="42" t="s">
        <v>453</v>
      </c>
      <c r="E619" s="42" t="s">
        <v>209</v>
      </c>
      <c r="F619" s="44" t="s">
        <v>269</v>
      </c>
      <c r="J619" s="49">
        <v>1</v>
      </c>
      <c r="K619" s="45">
        <v>2.4</v>
      </c>
    </row>
    <row r="620" spans="1:14" ht="16.5" customHeight="1" x14ac:dyDescent="0.3">
      <c r="A620" s="48">
        <v>46036</v>
      </c>
      <c r="B620" s="42" t="s">
        <v>34</v>
      </c>
      <c r="D620" s="42" t="s">
        <v>453</v>
      </c>
      <c r="E620" s="42" t="s">
        <v>209</v>
      </c>
      <c r="F620" s="44" t="s">
        <v>270</v>
      </c>
      <c r="J620" s="49">
        <v>1</v>
      </c>
      <c r="K620" s="46">
        <v>1.6</v>
      </c>
      <c r="L620" s="46"/>
      <c r="M620" s="54"/>
      <c r="N620" s="54"/>
    </row>
    <row r="621" spans="1:14" ht="16.5" customHeight="1" x14ac:dyDescent="0.3">
      <c r="A621" s="48">
        <v>46036</v>
      </c>
      <c r="B621" s="42" t="s">
        <v>34</v>
      </c>
      <c r="D621" s="42" t="s">
        <v>453</v>
      </c>
      <c r="E621" s="42" t="s">
        <v>209</v>
      </c>
      <c r="F621" s="44" t="s">
        <v>271</v>
      </c>
      <c r="J621" s="49">
        <v>1</v>
      </c>
      <c r="K621" s="46">
        <v>5</v>
      </c>
      <c r="L621" s="46"/>
      <c r="M621" s="54"/>
      <c r="N621" s="54"/>
    </row>
    <row r="622" spans="1:14" ht="16.5" customHeight="1" x14ac:dyDescent="0.3">
      <c r="A622" s="48">
        <v>46036</v>
      </c>
      <c r="B622" s="42" t="s">
        <v>34</v>
      </c>
      <c r="D622" s="42" t="s">
        <v>453</v>
      </c>
      <c r="E622" s="42" t="s">
        <v>209</v>
      </c>
      <c r="F622" s="44" t="s">
        <v>272</v>
      </c>
      <c r="J622" s="49">
        <v>1</v>
      </c>
      <c r="K622" s="45">
        <v>1</v>
      </c>
      <c r="M622" s="54"/>
      <c r="N622" s="54"/>
    </row>
    <row r="623" spans="1:14" ht="16.5" customHeight="1" x14ac:dyDescent="0.3">
      <c r="A623" s="48">
        <v>46036</v>
      </c>
      <c r="B623" s="42" t="s">
        <v>34</v>
      </c>
      <c r="D623" s="42" t="s">
        <v>453</v>
      </c>
      <c r="E623" s="42" t="s">
        <v>209</v>
      </c>
      <c r="F623" s="44" t="s">
        <v>273</v>
      </c>
      <c r="J623" s="49">
        <v>1</v>
      </c>
      <c r="K623" s="45">
        <v>0.5</v>
      </c>
      <c r="M623" s="54"/>
      <c r="N623" s="54"/>
    </row>
    <row r="624" spans="1:14" ht="16.5" customHeight="1" x14ac:dyDescent="0.3">
      <c r="A624" s="48">
        <v>46036</v>
      </c>
      <c r="B624" s="42" t="s">
        <v>34</v>
      </c>
      <c r="D624" s="42" t="s">
        <v>453</v>
      </c>
      <c r="E624" s="42" t="s">
        <v>209</v>
      </c>
      <c r="F624" s="44" t="s">
        <v>274</v>
      </c>
      <c r="G624" s="68"/>
      <c r="H624" s="68"/>
      <c r="I624" s="59"/>
      <c r="J624" s="49">
        <v>1</v>
      </c>
      <c r="K624" s="45">
        <v>0.3</v>
      </c>
      <c r="M624" s="54"/>
      <c r="N624" s="54"/>
    </row>
    <row r="625" spans="1:14" ht="16.5" customHeight="1" x14ac:dyDescent="0.3">
      <c r="A625" s="48">
        <v>46036</v>
      </c>
      <c r="B625" s="42" t="s">
        <v>34</v>
      </c>
      <c r="D625" s="42" t="s">
        <v>453</v>
      </c>
      <c r="E625" s="42" t="s">
        <v>209</v>
      </c>
      <c r="F625" s="44" t="s">
        <v>275</v>
      </c>
      <c r="I625" s="60"/>
      <c r="J625" s="49">
        <v>1</v>
      </c>
      <c r="K625" s="45">
        <v>0.5</v>
      </c>
      <c r="M625" s="54"/>
      <c r="N625" s="54"/>
    </row>
    <row r="626" spans="1:14" ht="16.5" customHeight="1" x14ac:dyDescent="0.3">
      <c r="A626" s="48">
        <v>46036</v>
      </c>
      <c r="B626" s="42" t="s">
        <v>34</v>
      </c>
      <c r="D626" s="42" t="s">
        <v>453</v>
      </c>
      <c r="E626" s="42" t="s">
        <v>209</v>
      </c>
      <c r="F626" s="44" t="s">
        <v>276</v>
      </c>
      <c r="I626" s="60"/>
      <c r="J626" s="49">
        <v>1</v>
      </c>
      <c r="K626" s="45">
        <v>1</v>
      </c>
    </row>
    <row r="627" spans="1:14" ht="16.5" customHeight="1" x14ac:dyDescent="0.3">
      <c r="A627" s="48">
        <v>46036</v>
      </c>
      <c r="B627" s="42" t="s">
        <v>34</v>
      </c>
      <c r="D627" s="42" t="s">
        <v>453</v>
      </c>
      <c r="E627" s="42" t="s">
        <v>209</v>
      </c>
      <c r="F627" s="44" t="s">
        <v>277</v>
      </c>
      <c r="I627" s="60"/>
      <c r="J627" s="49">
        <v>1</v>
      </c>
      <c r="K627" s="45">
        <v>0.5</v>
      </c>
    </row>
    <row r="628" spans="1:14" ht="16.5" customHeight="1" x14ac:dyDescent="0.3">
      <c r="A628" s="48">
        <v>46036</v>
      </c>
      <c r="B628" s="42" t="s">
        <v>34</v>
      </c>
      <c r="D628" s="42" t="s">
        <v>453</v>
      </c>
      <c r="E628" s="42" t="s">
        <v>209</v>
      </c>
      <c r="F628" s="44" t="s">
        <v>278</v>
      </c>
      <c r="I628" s="60"/>
      <c r="J628" s="49">
        <v>1</v>
      </c>
      <c r="K628" s="45">
        <v>0.1</v>
      </c>
    </row>
    <row r="629" spans="1:14" ht="16.5" customHeight="1" x14ac:dyDescent="0.3">
      <c r="A629" s="48">
        <v>46036</v>
      </c>
      <c r="B629" s="42" t="s">
        <v>34</v>
      </c>
      <c r="D629" s="42" t="s">
        <v>453</v>
      </c>
      <c r="E629" s="42" t="s">
        <v>209</v>
      </c>
      <c r="F629" s="44" t="s">
        <v>279</v>
      </c>
      <c r="I629" s="60"/>
      <c r="J629" s="49">
        <v>1</v>
      </c>
      <c r="K629" s="45">
        <v>0.1</v>
      </c>
    </row>
    <row r="630" spans="1:14" ht="16.5" customHeight="1" x14ac:dyDescent="0.3">
      <c r="A630" s="48">
        <v>46036</v>
      </c>
      <c r="B630" s="42" t="s">
        <v>34</v>
      </c>
      <c r="D630" s="42" t="s">
        <v>453</v>
      </c>
      <c r="E630" s="42" t="s">
        <v>209</v>
      </c>
      <c r="F630" s="44" t="s">
        <v>280</v>
      </c>
      <c r="I630" s="60"/>
      <c r="J630" s="49">
        <v>1</v>
      </c>
      <c r="K630" s="45">
        <v>0.3</v>
      </c>
    </row>
    <row r="631" spans="1:14" ht="16.5" customHeight="1" x14ac:dyDescent="0.3">
      <c r="A631" s="48">
        <v>46036</v>
      </c>
      <c r="B631" s="42" t="s">
        <v>34</v>
      </c>
      <c r="D631" s="42" t="s">
        <v>453</v>
      </c>
      <c r="E631" s="42" t="s">
        <v>209</v>
      </c>
      <c r="F631" s="44" t="s">
        <v>281</v>
      </c>
      <c r="I631" s="60"/>
      <c r="J631" s="49">
        <v>1</v>
      </c>
      <c r="K631" s="45">
        <v>1.6</v>
      </c>
    </row>
    <row r="632" spans="1:14" ht="16.5" customHeight="1" x14ac:dyDescent="0.3">
      <c r="A632" s="48">
        <v>46036</v>
      </c>
      <c r="B632" s="42" t="s">
        <v>34</v>
      </c>
      <c r="D632" s="42" t="s">
        <v>453</v>
      </c>
      <c r="E632" s="42" t="s">
        <v>209</v>
      </c>
      <c r="F632" s="44" t="s">
        <v>282</v>
      </c>
      <c r="I632" s="60"/>
      <c r="J632" s="49">
        <v>1</v>
      </c>
      <c r="K632" s="45">
        <v>1.1000000000000001</v>
      </c>
    </row>
    <row r="633" spans="1:14" ht="16.5" customHeight="1" x14ac:dyDescent="0.3">
      <c r="A633" s="48">
        <v>46036</v>
      </c>
      <c r="B633" s="42" t="s">
        <v>34</v>
      </c>
      <c r="D633" s="42" t="s">
        <v>453</v>
      </c>
      <c r="E633" s="42" t="s">
        <v>209</v>
      </c>
      <c r="F633" s="44" t="s">
        <v>283</v>
      </c>
      <c r="I633" s="60"/>
      <c r="J633" s="49">
        <v>1</v>
      </c>
      <c r="K633" s="45">
        <v>0.4</v>
      </c>
    </row>
    <row r="634" spans="1:14" ht="16.5" customHeight="1" x14ac:dyDescent="0.3">
      <c r="A634" s="48">
        <v>46036</v>
      </c>
      <c r="B634" s="42" t="s">
        <v>34</v>
      </c>
      <c r="D634" s="42" t="s">
        <v>453</v>
      </c>
      <c r="E634" s="42" t="s">
        <v>209</v>
      </c>
      <c r="F634" s="44" t="s">
        <v>284</v>
      </c>
      <c r="I634" s="60"/>
      <c r="J634" s="49">
        <v>1</v>
      </c>
      <c r="K634" s="45">
        <v>0.4</v>
      </c>
    </row>
    <row r="635" spans="1:14" ht="16.5" customHeight="1" x14ac:dyDescent="0.3">
      <c r="A635" s="48">
        <v>46036</v>
      </c>
      <c r="B635" s="42" t="s">
        <v>34</v>
      </c>
      <c r="D635" s="42" t="s">
        <v>453</v>
      </c>
      <c r="E635" s="42" t="s">
        <v>209</v>
      </c>
      <c r="F635" s="44" t="s">
        <v>285</v>
      </c>
      <c r="I635" s="60"/>
      <c r="J635" s="49">
        <v>1</v>
      </c>
      <c r="K635" s="45">
        <v>0.4</v>
      </c>
    </row>
    <row r="636" spans="1:14" ht="16.5" customHeight="1" x14ac:dyDescent="0.3">
      <c r="A636" s="48">
        <v>46036</v>
      </c>
      <c r="B636" s="42" t="s">
        <v>34</v>
      </c>
      <c r="D636" s="42" t="s">
        <v>453</v>
      </c>
      <c r="E636" s="42" t="s">
        <v>209</v>
      </c>
      <c r="F636" s="44" t="s">
        <v>286</v>
      </c>
      <c r="I636" s="60"/>
      <c r="J636" s="49">
        <v>1</v>
      </c>
      <c r="K636" s="45">
        <v>0.2</v>
      </c>
    </row>
    <row r="637" spans="1:14" ht="16.5" customHeight="1" x14ac:dyDescent="0.3">
      <c r="A637" s="48">
        <v>46036</v>
      </c>
      <c r="B637" s="42" t="s">
        <v>34</v>
      </c>
      <c r="D637" s="42" t="s">
        <v>453</v>
      </c>
      <c r="E637" s="42" t="s">
        <v>209</v>
      </c>
      <c r="F637" s="44" t="s">
        <v>287</v>
      </c>
      <c r="I637" s="60"/>
      <c r="J637" s="49">
        <v>1</v>
      </c>
      <c r="K637" s="45">
        <v>0.1</v>
      </c>
    </row>
    <row r="638" spans="1:14" ht="16.5" customHeight="1" x14ac:dyDescent="0.3">
      <c r="A638" s="48">
        <v>46036</v>
      </c>
      <c r="B638" s="42" t="s">
        <v>34</v>
      </c>
      <c r="D638" s="42" t="s">
        <v>453</v>
      </c>
      <c r="E638" s="42" t="s">
        <v>209</v>
      </c>
      <c r="F638" s="44" t="s">
        <v>288</v>
      </c>
      <c r="I638" s="60"/>
      <c r="J638" s="49">
        <v>1</v>
      </c>
      <c r="K638" s="45">
        <v>0.2</v>
      </c>
    </row>
    <row r="639" spans="1:14" ht="16.5" customHeight="1" x14ac:dyDescent="0.3">
      <c r="A639" s="48">
        <v>46036</v>
      </c>
      <c r="B639" s="42" t="s">
        <v>34</v>
      </c>
      <c r="D639" s="42" t="s">
        <v>453</v>
      </c>
      <c r="E639" s="42" t="s">
        <v>209</v>
      </c>
      <c r="F639" s="44" t="s">
        <v>289</v>
      </c>
      <c r="I639" s="60"/>
      <c r="J639" s="49">
        <v>1</v>
      </c>
      <c r="K639" s="45">
        <v>2.4</v>
      </c>
    </row>
    <row r="640" spans="1:14" ht="16.5" customHeight="1" x14ac:dyDescent="0.3">
      <c r="A640" s="48">
        <v>46036</v>
      </c>
      <c r="B640" s="42" t="s">
        <v>34</v>
      </c>
      <c r="D640" s="42" t="s">
        <v>453</v>
      </c>
      <c r="E640" s="42" t="s">
        <v>209</v>
      </c>
      <c r="F640" s="44" t="s">
        <v>290</v>
      </c>
      <c r="I640" s="60"/>
      <c r="J640" s="49">
        <v>1</v>
      </c>
      <c r="K640" s="45">
        <v>0.6</v>
      </c>
    </row>
    <row r="641" spans="1:11" ht="16.5" customHeight="1" x14ac:dyDescent="0.3">
      <c r="A641" s="48">
        <v>46036</v>
      </c>
      <c r="B641" s="42" t="s">
        <v>34</v>
      </c>
      <c r="D641" s="42" t="s">
        <v>453</v>
      </c>
      <c r="E641" s="42" t="s">
        <v>209</v>
      </c>
      <c r="F641" s="44" t="s">
        <v>291</v>
      </c>
      <c r="I641" s="60"/>
      <c r="J641" s="49">
        <v>1</v>
      </c>
      <c r="K641" s="45">
        <v>0.3</v>
      </c>
    </row>
    <row r="642" spans="1:11" ht="16.5" customHeight="1" x14ac:dyDescent="0.3">
      <c r="A642" s="48">
        <v>46036</v>
      </c>
      <c r="B642" s="42" t="s">
        <v>34</v>
      </c>
      <c r="D642" s="42" t="s">
        <v>453</v>
      </c>
      <c r="E642" s="42" t="s">
        <v>209</v>
      </c>
      <c r="F642" s="44" t="s">
        <v>292</v>
      </c>
      <c r="I642" s="60"/>
      <c r="J642" s="49">
        <v>1</v>
      </c>
      <c r="K642" s="45">
        <v>0.6</v>
      </c>
    </row>
    <row r="643" spans="1:11" ht="16.5" customHeight="1" x14ac:dyDescent="0.3">
      <c r="A643" s="48">
        <v>46036</v>
      </c>
      <c r="B643" s="42" t="s">
        <v>34</v>
      </c>
      <c r="D643" s="42" t="s">
        <v>453</v>
      </c>
      <c r="E643" s="42" t="s">
        <v>209</v>
      </c>
      <c r="F643" s="44" t="s">
        <v>293</v>
      </c>
      <c r="I643" s="60"/>
      <c r="J643" s="49">
        <v>1</v>
      </c>
      <c r="K643" s="45">
        <v>1</v>
      </c>
    </row>
    <row r="644" spans="1:11" ht="16.5" customHeight="1" x14ac:dyDescent="0.3">
      <c r="A644" s="48">
        <v>46036</v>
      </c>
      <c r="B644" s="42" t="s">
        <v>34</v>
      </c>
      <c r="D644" s="42" t="s">
        <v>453</v>
      </c>
      <c r="E644" s="42" t="s">
        <v>209</v>
      </c>
      <c r="F644" s="44" t="s">
        <v>294</v>
      </c>
      <c r="I644" s="60"/>
      <c r="J644" s="49">
        <v>1</v>
      </c>
      <c r="K644" s="45">
        <v>1.9</v>
      </c>
    </row>
    <row r="645" spans="1:11" ht="16.5" customHeight="1" x14ac:dyDescent="0.3">
      <c r="A645" s="48">
        <v>46036</v>
      </c>
      <c r="B645" s="42" t="s">
        <v>34</v>
      </c>
      <c r="D645" s="42" t="s">
        <v>453</v>
      </c>
      <c r="E645" s="42" t="s">
        <v>209</v>
      </c>
      <c r="F645" s="44" t="s">
        <v>295</v>
      </c>
      <c r="I645" s="60"/>
      <c r="J645" s="49">
        <v>1</v>
      </c>
      <c r="K645" s="45">
        <v>0.5</v>
      </c>
    </row>
    <row r="646" spans="1:11" ht="16.5" customHeight="1" x14ac:dyDescent="0.3">
      <c r="A646" s="48">
        <v>46036</v>
      </c>
      <c r="B646" s="42" t="s">
        <v>34</v>
      </c>
      <c r="D646" s="42" t="s">
        <v>453</v>
      </c>
      <c r="E646" s="42" t="s">
        <v>209</v>
      </c>
      <c r="F646" s="44" t="s">
        <v>296</v>
      </c>
      <c r="I646" s="60"/>
      <c r="J646" s="49">
        <v>1</v>
      </c>
      <c r="K646" s="45">
        <v>1.5</v>
      </c>
    </row>
    <row r="647" spans="1:11" ht="16.5" customHeight="1" x14ac:dyDescent="0.3">
      <c r="A647" s="48">
        <v>46036</v>
      </c>
      <c r="B647" s="42" t="s">
        <v>34</v>
      </c>
      <c r="D647" s="42" t="s">
        <v>453</v>
      </c>
      <c r="E647" s="42" t="s">
        <v>209</v>
      </c>
      <c r="F647" s="44" t="s">
        <v>297</v>
      </c>
      <c r="I647" s="60"/>
      <c r="J647" s="49">
        <v>1</v>
      </c>
      <c r="K647" s="45">
        <v>5.0999999999999996</v>
      </c>
    </row>
    <row r="648" spans="1:11" ht="16.5" customHeight="1" x14ac:dyDescent="0.3">
      <c r="A648" s="48">
        <v>46036</v>
      </c>
      <c r="B648" s="42" t="s">
        <v>34</v>
      </c>
      <c r="D648" s="42" t="s">
        <v>453</v>
      </c>
      <c r="E648" s="42" t="s">
        <v>209</v>
      </c>
      <c r="F648" s="44" t="s">
        <v>298</v>
      </c>
      <c r="I648" s="60"/>
      <c r="J648" s="49">
        <v>1</v>
      </c>
      <c r="K648" s="45">
        <v>0.3</v>
      </c>
    </row>
    <row r="649" spans="1:11" ht="16.5" customHeight="1" x14ac:dyDescent="0.3">
      <c r="A649" s="48">
        <v>46036</v>
      </c>
      <c r="B649" s="42" t="s">
        <v>34</v>
      </c>
      <c r="D649" s="42" t="s">
        <v>453</v>
      </c>
      <c r="E649" s="42" t="s">
        <v>209</v>
      </c>
      <c r="F649" s="44" t="s">
        <v>299</v>
      </c>
      <c r="I649" s="60"/>
      <c r="J649" s="49">
        <v>1</v>
      </c>
      <c r="K649" s="45">
        <v>1</v>
      </c>
    </row>
    <row r="650" spans="1:11" ht="16.5" customHeight="1" x14ac:dyDescent="0.3">
      <c r="A650" s="48">
        <v>46036</v>
      </c>
      <c r="B650" s="42" t="s">
        <v>34</v>
      </c>
      <c r="D650" s="42" t="s">
        <v>453</v>
      </c>
      <c r="E650" s="42" t="s">
        <v>209</v>
      </c>
      <c r="F650" s="44" t="s">
        <v>300</v>
      </c>
      <c r="I650" s="60"/>
      <c r="J650" s="49">
        <v>1</v>
      </c>
      <c r="K650" s="45">
        <v>0.1</v>
      </c>
    </row>
    <row r="651" spans="1:11" ht="16.5" customHeight="1" x14ac:dyDescent="0.3">
      <c r="A651" s="48">
        <v>46036</v>
      </c>
      <c r="B651" s="42" t="s">
        <v>34</v>
      </c>
      <c r="D651" s="42" t="s">
        <v>453</v>
      </c>
      <c r="E651" s="42" t="s">
        <v>209</v>
      </c>
      <c r="F651" s="44" t="s">
        <v>301</v>
      </c>
      <c r="I651" s="60"/>
      <c r="J651" s="49">
        <v>1</v>
      </c>
      <c r="K651" s="45">
        <v>1</v>
      </c>
    </row>
    <row r="652" spans="1:11" ht="16.5" customHeight="1" x14ac:dyDescent="0.3">
      <c r="A652" s="48">
        <v>46036</v>
      </c>
      <c r="B652" s="42" t="s">
        <v>34</v>
      </c>
      <c r="D652" s="42" t="s">
        <v>453</v>
      </c>
      <c r="E652" s="42" t="s">
        <v>209</v>
      </c>
      <c r="F652" s="44" t="s">
        <v>302</v>
      </c>
      <c r="I652" s="60"/>
      <c r="J652" s="49">
        <v>1</v>
      </c>
      <c r="K652" s="45">
        <v>1.6</v>
      </c>
    </row>
    <row r="653" spans="1:11" ht="16.5" customHeight="1" x14ac:dyDescent="0.3">
      <c r="A653" s="48">
        <v>46036</v>
      </c>
      <c r="B653" s="42" t="s">
        <v>34</v>
      </c>
      <c r="D653" s="42" t="s">
        <v>453</v>
      </c>
      <c r="E653" s="42" t="s">
        <v>209</v>
      </c>
      <c r="F653" s="44" t="s">
        <v>303</v>
      </c>
      <c r="I653" s="60"/>
      <c r="J653" s="49">
        <v>1</v>
      </c>
      <c r="K653" s="45">
        <v>1.2</v>
      </c>
    </row>
    <row r="654" spans="1:11" ht="16.5" customHeight="1" x14ac:dyDescent="0.3">
      <c r="A654" s="48">
        <v>46036</v>
      </c>
      <c r="B654" s="42" t="s">
        <v>34</v>
      </c>
      <c r="D654" s="42" t="s">
        <v>453</v>
      </c>
      <c r="E654" s="42" t="s">
        <v>209</v>
      </c>
      <c r="F654" s="44" t="s">
        <v>304</v>
      </c>
      <c r="I654" s="60"/>
      <c r="J654" s="49">
        <v>1</v>
      </c>
      <c r="K654" s="45">
        <v>0.3</v>
      </c>
    </row>
    <row r="655" spans="1:11" ht="16.5" customHeight="1" x14ac:dyDescent="0.3">
      <c r="A655" s="48">
        <v>46036</v>
      </c>
      <c r="B655" s="42" t="s">
        <v>34</v>
      </c>
      <c r="D655" s="42" t="s">
        <v>453</v>
      </c>
      <c r="E655" s="42" t="s">
        <v>209</v>
      </c>
      <c r="F655" s="44" t="s">
        <v>305</v>
      </c>
      <c r="I655" s="60"/>
      <c r="J655" s="49">
        <v>1</v>
      </c>
      <c r="K655" s="45">
        <v>1.6</v>
      </c>
    </row>
    <row r="656" spans="1:11" ht="16.5" customHeight="1" x14ac:dyDescent="0.3">
      <c r="A656" s="48">
        <v>46036</v>
      </c>
      <c r="B656" s="42" t="s">
        <v>34</v>
      </c>
      <c r="D656" s="42" t="s">
        <v>453</v>
      </c>
      <c r="E656" s="42" t="s">
        <v>209</v>
      </c>
      <c r="F656" s="44" t="s">
        <v>306</v>
      </c>
      <c r="I656" s="60"/>
      <c r="J656" s="49">
        <v>1</v>
      </c>
      <c r="K656" s="45">
        <v>0.5</v>
      </c>
    </row>
    <row r="657" spans="1:11" ht="16.5" customHeight="1" x14ac:dyDescent="0.3">
      <c r="A657" s="48">
        <v>46036</v>
      </c>
      <c r="B657" s="42" t="s">
        <v>34</v>
      </c>
      <c r="D657" s="42" t="s">
        <v>453</v>
      </c>
      <c r="E657" s="42" t="s">
        <v>209</v>
      </c>
      <c r="F657" s="44" t="s">
        <v>307</v>
      </c>
      <c r="I657" s="60"/>
      <c r="J657" s="49">
        <v>1</v>
      </c>
      <c r="K657" s="45">
        <v>0.4</v>
      </c>
    </row>
    <row r="658" spans="1:11" ht="16.5" customHeight="1" x14ac:dyDescent="0.3">
      <c r="A658" s="48">
        <v>46036</v>
      </c>
      <c r="B658" s="42" t="s">
        <v>34</v>
      </c>
      <c r="D658" s="42" t="s">
        <v>453</v>
      </c>
      <c r="E658" s="42" t="s">
        <v>209</v>
      </c>
      <c r="F658" s="44" t="s">
        <v>308</v>
      </c>
      <c r="I658" s="60"/>
      <c r="J658" s="49">
        <v>1</v>
      </c>
      <c r="K658" s="45">
        <v>1</v>
      </c>
    </row>
    <row r="659" spans="1:11" ht="16.5" customHeight="1" x14ac:dyDescent="0.3">
      <c r="A659" s="48">
        <v>46036</v>
      </c>
      <c r="B659" s="42" t="s">
        <v>34</v>
      </c>
      <c r="D659" s="42" t="s">
        <v>453</v>
      </c>
      <c r="E659" s="42" t="s">
        <v>209</v>
      </c>
      <c r="F659" s="44" t="s">
        <v>309</v>
      </c>
      <c r="I659" s="60"/>
      <c r="J659" s="49">
        <v>1</v>
      </c>
      <c r="K659" s="45">
        <v>0.5</v>
      </c>
    </row>
    <row r="660" spans="1:11" ht="16.5" customHeight="1" x14ac:dyDescent="0.3">
      <c r="A660" s="48">
        <v>46036</v>
      </c>
      <c r="B660" s="42" t="s">
        <v>34</v>
      </c>
      <c r="D660" s="42" t="s">
        <v>453</v>
      </c>
      <c r="E660" s="42" t="s">
        <v>209</v>
      </c>
      <c r="F660" s="44" t="s">
        <v>310</v>
      </c>
      <c r="I660" s="60"/>
      <c r="J660" s="49">
        <v>1</v>
      </c>
      <c r="K660" s="45">
        <v>0.4</v>
      </c>
    </row>
    <row r="661" spans="1:11" ht="16.5" customHeight="1" x14ac:dyDescent="0.3">
      <c r="A661" s="48">
        <v>46036</v>
      </c>
      <c r="B661" s="42" t="s">
        <v>34</v>
      </c>
      <c r="D661" s="42" t="s">
        <v>453</v>
      </c>
      <c r="E661" s="42" t="s">
        <v>209</v>
      </c>
      <c r="F661" s="44" t="s">
        <v>311</v>
      </c>
      <c r="I661" s="60"/>
      <c r="J661" s="49">
        <v>1</v>
      </c>
      <c r="K661" s="45">
        <v>0.4</v>
      </c>
    </row>
    <row r="662" spans="1:11" ht="16.5" customHeight="1" x14ac:dyDescent="0.3">
      <c r="A662" s="48">
        <v>46036</v>
      </c>
      <c r="B662" s="42" t="s">
        <v>34</v>
      </c>
      <c r="D662" s="42" t="s">
        <v>453</v>
      </c>
      <c r="E662" s="42" t="s">
        <v>209</v>
      </c>
      <c r="F662" s="44" t="s">
        <v>312</v>
      </c>
      <c r="I662" s="60"/>
      <c r="J662" s="49">
        <v>1</v>
      </c>
      <c r="K662" s="45">
        <v>0.4</v>
      </c>
    </row>
    <row r="663" spans="1:11" ht="16.5" customHeight="1" x14ac:dyDescent="0.3">
      <c r="A663" s="48">
        <v>46036</v>
      </c>
      <c r="B663" s="42" t="s">
        <v>34</v>
      </c>
      <c r="D663" s="42" t="s">
        <v>453</v>
      </c>
      <c r="E663" s="42" t="s">
        <v>209</v>
      </c>
      <c r="F663" s="44" t="s">
        <v>313</v>
      </c>
      <c r="I663" s="60"/>
      <c r="J663" s="49">
        <v>1</v>
      </c>
      <c r="K663" s="45">
        <v>0.2</v>
      </c>
    </row>
    <row r="664" spans="1:11" ht="16.5" customHeight="1" x14ac:dyDescent="0.3">
      <c r="A664" s="48">
        <v>46036</v>
      </c>
      <c r="B664" s="42" t="s">
        <v>34</v>
      </c>
      <c r="D664" s="42" t="s">
        <v>453</v>
      </c>
      <c r="E664" s="42" t="s">
        <v>209</v>
      </c>
      <c r="F664" s="44" t="s">
        <v>314</v>
      </c>
      <c r="I664" s="60"/>
      <c r="J664" s="49">
        <v>1</v>
      </c>
      <c r="K664" s="45">
        <v>0.7</v>
      </c>
    </row>
    <row r="665" spans="1:11" ht="16.5" customHeight="1" x14ac:dyDescent="0.3">
      <c r="A665" s="48">
        <v>46036</v>
      </c>
      <c r="B665" s="42" t="s">
        <v>34</v>
      </c>
      <c r="D665" s="42" t="s">
        <v>453</v>
      </c>
      <c r="E665" s="42" t="s">
        <v>209</v>
      </c>
      <c r="F665" s="44" t="s">
        <v>315</v>
      </c>
      <c r="I665" s="60"/>
      <c r="J665" s="49">
        <v>1</v>
      </c>
      <c r="K665" s="45">
        <v>1.1000000000000001</v>
      </c>
    </row>
    <row r="666" spans="1:11" ht="16.5" customHeight="1" x14ac:dyDescent="0.3">
      <c r="A666" s="48">
        <v>46036</v>
      </c>
      <c r="B666" s="42" t="s">
        <v>34</v>
      </c>
      <c r="D666" s="42" t="s">
        <v>453</v>
      </c>
      <c r="E666" s="42" t="s">
        <v>209</v>
      </c>
      <c r="F666" s="44" t="s">
        <v>316</v>
      </c>
      <c r="I666" s="60"/>
      <c r="J666" s="49">
        <v>1</v>
      </c>
      <c r="K666" s="45">
        <v>2</v>
      </c>
    </row>
    <row r="667" spans="1:11" ht="16.5" customHeight="1" x14ac:dyDescent="0.3">
      <c r="A667" s="48">
        <v>46036</v>
      </c>
      <c r="B667" s="42" t="s">
        <v>34</v>
      </c>
      <c r="D667" s="42" t="s">
        <v>453</v>
      </c>
      <c r="E667" s="42" t="s">
        <v>209</v>
      </c>
      <c r="F667" s="44" t="s">
        <v>317</v>
      </c>
      <c r="I667" s="60"/>
      <c r="J667" s="49">
        <v>1</v>
      </c>
      <c r="K667" s="45">
        <v>6</v>
      </c>
    </row>
    <row r="668" spans="1:11" ht="16.5" customHeight="1" x14ac:dyDescent="0.3">
      <c r="A668" s="48">
        <v>46036</v>
      </c>
      <c r="B668" s="42" t="s">
        <v>34</v>
      </c>
      <c r="D668" s="42" t="s">
        <v>453</v>
      </c>
      <c r="E668" s="42" t="s">
        <v>209</v>
      </c>
      <c r="F668" s="44" t="s">
        <v>318</v>
      </c>
      <c r="I668" s="60"/>
      <c r="J668" s="49">
        <v>1</v>
      </c>
      <c r="K668" s="45">
        <v>2.4</v>
      </c>
    </row>
    <row r="669" spans="1:11" ht="16.5" customHeight="1" x14ac:dyDescent="0.3">
      <c r="A669" s="48">
        <v>46036</v>
      </c>
      <c r="B669" s="42" t="s">
        <v>34</v>
      </c>
      <c r="D669" s="42" t="s">
        <v>453</v>
      </c>
      <c r="E669" s="42" t="s">
        <v>209</v>
      </c>
      <c r="F669" s="44" t="s">
        <v>319</v>
      </c>
      <c r="I669" s="60"/>
      <c r="J669" s="49">
        <v>1</v>
      </c>
      <c r="K669" s="45">
        <v>1</v>
      </c>
    </row>
    <row r="670" spans="1:11" ht="16.5" customHeight="1" x14ac:dyDescent="0.3">
      <c r="A670" s="48">
        <v>46036</v>
      </c>
      <c r="B670" s="42" t="s">
        <v>34</v>
      </c>
      <c r="D670" s="42" t="s">
        <v>453</v>
      </c>
      <c r="E670" s="42" t="s">
        <v>209</v>
      </c>
      <c r="F670" s="44" t="s">
        <v>320</v>
      </c>
      <c r="I670" s="60"/>
      <c r="J670" s="49">
        <v>1</v>
      </c>
      <c r="K670" s="45">
        <v>0.5</v>
      </c>
    </row>
    <row r="671" spans="1:11" ht="16.5" customHeight="1" x14ac:dyDescent="0.3">
      <c r="A671" s="48">
        <v>46036</v>
      </c>
      <c r="B671" s="42" t="s">
        <v>34</v>
      </c>
      <c r="D671" s="42" t="s">
        <v>453</v>
      </c>
      <c r="E671" s="42" t="s">
        <v>209</v>
      </c>
      <c r="F671" s="44" t="s">
        <v>321</v>
      </c>
      <c r="I671" s="60"/>
      <c r="J671" s="49">
        <v>1</v>
      </c>
      <c r="K671" s="45">
        <v>2.2999999999999998</v>
      </c>
    </row>
    <row r="672" spans="1:11" ht="16.5" customHeight="1" x14ac:dyDescent="0.3">
      <c r="A672" s="48">
        <v>46036</v>
      </c>
      <c r="B672" s="42" t="s">
        <v>34</v>
      </c>
      <c r="D672" s="42" t="s">
        <v>453</v>
      </c>
      <c r="E672" s="42" t="s">
        <v>209</v>
      </c>
      <c r="F672" s="44" t="s">
        <v>322</v>
      </c>
      <c r="I672" s="60"/>
      <c r="J672" s="49">
        <v>1</v>
      </c>
      <c r="K672" s="45">
        <v>2.4</v>
      </c>
    </row>
    <row r="673" spans="1:12" ht="16.5" customHeight="1" x14ac:dyDescent="0.3">
      <c r="A673" s="48">
        <v>46036</v>
      </c>
      <c r="B673" s="42" t="s">
        <v>34</v>
      </c>
      <c r="D673" s="42" t="s">
        <v>453</v>
      </c>
      <c r="E673" s="42" t="s">
        <v>209</v>
      </c>
      <c r="F673" s="44" t="s">
        <v>323</v>
      </c>
      <c r="I673" s="60"/>
      <c r="J673" s="49">
        <v>1</v>
      </c>
      <c r="K673" s="45">
        <v>0.5</v>
      </c>
    </row>
    <row r="674" spans="1:12" ht="16.5" customHeight="1" x14ac:dyDescent="0.3">
      <c r="A674" s="48">
        <v>46036</v>
      </c>
      <c r="B674" s="42" t="s">
        <v>34</v>
      </c>
      <c r="D674" s="42" t="s">
        <v>453</v>
      </c>
      <c r="E674" s="42" t="s">
        <v>209</v>
      </c>
      <c r="F674" s="44" t="s">
        <v>324</v>
      </c>
      <c r="I674" s="60"/>
      <c r="J674" s="49">
        <v>1</v>
      </c>
      <c r="K674" s="46">
        <v>1.4</v>
      </c>
      <c r="L674" s="46"/>
    </row>
    <row r="675" spans="1:12" ht="16.5" customHeight="1" x14ac:dyDescent="0.3">
      <c r="A675" s="48">
        <v>46036</v>
      </c>
      <c r="B675" s="42" t="s">
        <v>34</v>
      </c>
      <c r="D675" s="42" t="s">
        <v>453</v>
      </c>
      <c r="E675" s="42" t="s">
        <v>209</v>
      </c>
      <c r="F675" s="44" t="s">
        <v>325</v>
      </c>
      <c r="I675" s="60"/>
      <c r="J675" s="49">
        <v>1</v>
      </c>
      <c r="K675" s="46">
        <v>1.9</v>
      </c>
      <c r="L675" s="46"/>
    </row>
    <row r="676" spans="1:12" ht="16.5" customHeight="1" x14ac:dyDescent="0.3">
      <c r="A676" s="48">
        <v>46036</v>
      </c>
      <c r="B676" s="42" t="s">
        <v>34</v>
      </c>
      <c r="D676" s="42" t="s">
        <v>453</v>
      </c>
      <c r="E676" s="42" t="s">
        <v>209</v>
      </c>
      <c r="F676" s="44" t="s">
        <v>326</v>
      </c>
      <c r="I676" s="60"/>
      <c r="J676" s="49">
        <v>1</v>
      </c>
      <c r="K676" s="45">
        <v>1.8</v>
      </c>
    </row>
    <row r="677" spans="1:12" ht="16.5" customHeight="1" x14ac:dyDescent="0.3">
      <c r="A677" s="48">
        <v>46036</v>
      </c>
      <c r="B677" s="42" t="s">
        <v>34</v>
      </c>
      <c r="D677" s="42" t="s">
        <v>453</v>
      </c>
      <c r="E677" s="42" t="s">
        <v>209</v>
      </c>
      <c r="F677" s="44" t="s">
        <v>327</v>
      </c>
      <c r="I677" s="60"/>
      <c r="J677" s="49">
        <v>1</v>
      </c>
      <c r="K677" s="45">
        <v>0.5</v>
      </c>
    </row>
    <row r="678" spans="1:12" ht="16.5" customHeight="1" x14ac:dyDescent="0.3">
      <c r="A678" s="48">
        <v>46036</v>
      </c>
      <c r="B678" s="42" t="s">
        <v>34</v>
      </c>
      <c r="D678" s="42" t="s">
        <v>453</v>
      </c>
      <c r="E678" s="42" t="s">
        <v>209</v>
      </c>
      <c r="F678" s="44" t="s">
        <v>328</v>
      </c>
      <c r="I678" s="60"/>
      <c r="J678" s="49">
        <v>1</v>
      </c>
      <c r="K678" s="45">
        <v>1.4</v>
      </c>
    </row>
    <row r="679" spans="1:12" ht="16.5" customHeight="1" x14ac:dyDescent="0.3">
      <c r="A679" s="48">
        <v>46036</v>
      </c>
      <c r="B679" s="42" t="s">
        <v>34</v>
      </c>
      <c r="D679" s="42" t="s">
        <v>453</v>
      </c>
      <c r="E679" s="42" t="s">
        <v>209</v>
      </c>
      <c r="F679" s="44" t="s">
        <v>329</v>
      </c>
      <c r="I679" s="60"/>
      <c r="J679" s="49">
        <v>1</v>
      </c>
      <c r="K679" s="45">
        <v>6.7</v>
      </c>
    </row>
    <row r="680" spans="1:12" ht="16.5" customHeight="1" x14ac:dyDescent="0.3">
      <c r="A680" s="48">
        <v>46036</v>
      </c>
      <c r="B680" s="42" t="s">
        <v>34</v>
      </c>
      <c r="D680" s="42" t="s">
        <v>453</v>
      </c>
      <c r="E680" s="42" t="s">
        <v>209</v>
      </c>
      <c r="F680" s="44" t="s">
        <v>330</v>
      </c>
      <c r="I680" s="60"/>
      <c r="J680" s="49">
        <v>1</v>
      </c>
      <c r="K680" s="45">
        <v>1.5</v>
      </c>
    </row>
    <row r="681" spans="1:12" ht="16.5" customHeight="1" x14ac:dyDescent="0.3">
      <c r="A681" s="48">
        <v>46036</v>
      </c>
      <c r="B681" s="42" t="s">
        <v>34</v>
      </c>
      <c r="D681" s="42" t="s">
        <v>453</v>
      </c>
      <c r="E681" s="42" t="s">
        <v>209</v>
      </c>
      <c r="F681" s="44" t="s">
        <v>331</v>
      </c>
      <c r="I681" s="60"/>
      <c r="J681" s="49">
        <v>1</v>
      </c>
      <c r="K681" s="45">
        <v>1.5</v>
      </c>
    </row>
    <row r="682" spans="1:12" ht="16.5" customHeight="1" x14ac:dyDescent="0.3">
      <c r="A682" s="48">
        <v>46036</v>
      </c>
      <c r="B682" s="42" t="s">
        <v>34</v>
      </c>
      <c r="D682" s="42" t="s">
        <v>453</v>
      </c>
      <c r="E682" s="42" t="s">
        <v>209</v>
      </c>
      <c r="F682" s="44" t="s">
        <v>332</v>
      </c>
      <c r="I682" s="60"/>
      <c r="J682" s="49">
        <v>1</v>
      </c>
      <c r="K682" s="45">
        <v>0.8</v>
      </c>
    </row>
    <row r="683" spans="1:12" ht="16.5" customHeight="1" x14ac:dyDescent="0.3">
      <c r="A683" s="48">
        <v>46036</v>
      </c>
      <c r="B683" s="42" t="s">
        <v>34</v>
      </c>
      <c r="D683" s="42" t="s">
        <v>453</v>
      </c>
      <c r="E683" s="42" t="s">
        <v>209</v>
      </c>
      <c r="F683" s="44" t="s">
        <v>333</v>
      </c>
      <c r="I683" s="60"/>
      <c r="J683" s="49">
        <v>1</v>
      </c>
      <c r="K683" s="45">
        <v>0.7</v>
      </c>
    </row>
    <row r="684" spans="1:12" ht="16.5" customHeight="1" x14ac:dyDescent="0.3">
      <c r="A684" s="48">
        <v>46036</v>
      </c>
      <c r="B684" s="42" t="s">
        <v>34</v>
      </c>
      <c r="D684" s="42" t="s">
        <v>453</v>
      </c>
      <c r="E684" s="42" t="s">
        <v>209</v>
      </c>
      <c r="F684" s="44" t="s">
        <v>334</v>
      </c>
      <c r="I684" s="60"/>
      <c r="J684" s="49">
        <v>1</v>
      </c>
      <c r="K684" s="45">
        <v>0.1</v>
      </c>
    </row>
    <row r="685" spans="1:12" ht="16.5" customHeight="1" x14ac:dyDescent="0.3">
      <c r="A685" s="48">
        <v>46036</v>
      </c>
      <c r="B685" s="42" t="s">
        <v>34</v>
      </c>
      <c r="D685" s="42" t="s">
        <v>453</v>
      </c>
      <c r="E685" s="42" t="s">
        <v>209</v>
      </c>
      <c r="F685" s="44" t="s">
        <v>335</v>
      </c>
      <c r="I685" s="60"/>
      <c r="J685" s="49">
        <v>1</v>
      </c>
      <c r="K685" s="45">
        <v>0.9</v>
      </c>
    </row>
    <row r="686" spans="1:12" ht="16.5" customHeight="1" x14ac:dyDescent="0.3">
      <c r="A686" s="48">
        <v>46036</v>
      </c>
      <c r="B686" s="42" t="s">
        <v>34</v>
      </c>
      <c r="D686" s="42" t="s">
        <v>453</v>
      </c>
      <c r="E686" s="42" t="s">
        <v>209</v>
      </c>
      <c r="F686" s="44" t="s">
        <v>336</v>
      </c>
      <c r="I686" s="60"/>
      <c r="J686" s="49">
        <v>1</v>
      </c>
      <c r="K686" s="45">
        <v>0.7</v>
      </c>
    </row>
    <row r="687" spans="1:12" ht="16.5" customHeight="1" x14ac:dyDescent="0.3">
      <c r="A687" s="48">
        <v>46036</v>
      </c>
      <c r="B687" s="42" t="s">
        <v>34</v>
      </c>
      <c r="D687" s="42" t="s">
        <v>453</v>
      </c>
      <c r="E687" s="42" t="s">
        <v>209</v>
      </c>
      <c r="F687" s="44" t="s">
        <v>337</v>
      </c>
      <c r="I687" s="60"/>
      <c r="J687" s="49">
        <v>1</v>
      </c>
      <c r="K687" s="45">
        <v>1.5</v>
      </c>
    </row>
    <row r="688" spans="1:12" ht="16.5" customHeight="1" x14ac:dyDescent="0.3">
      <c r="A688" s="48">
        <v>46036</v>
      </c>
      <c r="B688" s="42" t="s">
        <v>34</v>
      </c>
      <c r="D688" s="42" t="s">
        <v>453</v>
      </c>
      <c r="E688" s="42" t="s">
        <v>209</v>
      </c>
      <c r="F688" s="44" t="s">
        <v>338</v>
      </c>
      <c r="I688" s="60"/>
      <c r="J688" s="49">
        <v>1</v>
      </c>
      <c r="K688" s="45">
        <v>1.2</v>
      </c>
    </row>
    <row r="689" spans="1:12" ht="16.5" customHeight="1" x14ac:dyDescent="0.3">
      <c r="A689" s="48">
        <v>46036</v>
      </c>
      <c r="B689" s="42" t="s">
        <v>34</v>
      </c>
      <c r="D689" s="42" t="s">
        <v>453</v>
      </c>
      <c r="E689" s="42" t="s">
        <v>209</v>
      </c>
      <c r="F689" s="44" t="s">
        <v>339</v>
      </c>
      <c r="I689" s="60"/>
      <c r="J689" s="49">
        <v>1</v>
      </c>
      <c r="K689" s="45">
        <v>1.6</v>
      </c>
    </row>
    <row r="690" spans="1:12" ht="16.5" customHeight="1" x14ac:dyDescent="0.3">
      <c r="A690" s="48">
        <v>46036</v>
      </c>
      <c r="B690" s="42" t="s">
        <v>34</v>
      </c>
      <c r="D690" s="42" t="s">
        <v>453</v>
      </c>
      <c r="E690" s="42" t="s">
        <v>209</v>
      </c>
      <c r="F690" s="44" t="s">
        <v>340</v>
      </c>
      <c r="H690" s="68"/>
      <c r="I690" s="59"/>
      <c r="J690" s="49">
        <v>1</v>
      </c>
      <c r="K690" s="46">
        <v>1.1000000000000001</v>
      </c>
      <c r="L690" s="46"/>
    </row>
    <row r="691" spans="1:12" ht="16.5" customHeight="1" x14ac:dyDescent="0.3">
      <c r="A691" s="48">
        <v>46036</v>
      </c>
      <c r="B691" s="42" t="s">
        <v>34</v>
      </c>
      <c r="D691" s="42" t="s">
        <v>453</v>
      </c>
      <c r="E691" s="42" t="s">
        <v>209</v>
      </c>
      <c r="F691" s="44" t="s">
        <v>341</v>
      </c>
      <c r="I691" s="60"/>
      <c r="J691" s="49">
        <v>1</v>
      </c>
      <c r="K691" s="46">
        <v>0.1</v>
      </c>
      <c r="L691" s="46"/>
    </row>
    <row r="692" spans="1:12" ht="16.5" customHeight="1" x14ac:dyDescent="0.3">
      <c r="A692" s="48">
        <v>46036</v>
      </c>
      <c r="B692" s="42" t="s">
        <v>34</v>
      </c>
      <c r="D692" s="42" t="s">
        <v>453</v>
      </c>
      <c r="E692" s="42" t="s">
        <v>209</v>
      </c>
      <c r="F692" s="44" t="s">
        <v>342</v>
      </c>
      <c r="I692" s="60"/>
      <c r="J692" s="49">
        <v>1</v>
      </c>
      <c r="K692" s="46">
        <v>0.1</v>
      </c>
      <c r="L692" s="46"/>
    </row>
    <row r="693" spans="1:12" ht="16.5" customHeight="1" x14ac:dyDescent="0.3">
      <c r="A693" s="48">
        <v>46036</v>
      </c>
      <c r="B693" s="42" t="s">
        <v>34</v>
      </c>
      <c r="D693" s="42" t="s">
        <v>453</v>
      </c>
      <c r="E693" s="42" t="s">
        <v>209</v>
      </c>
      <c r="F693" s="44" t="s">
        <v>343</v>
      </c>
      <c r="I693" s="60"/>
      <c r="J693" s="49">
        <v>1</v>
      </c>
      <c r="K693" s="46">
        <v>1.5</v>
      </c>
      <c r="L693" s="46"/>
    </row>
    <row r="694" spans="1:12" ht="16.5" customHeight="1" x14ac:dyDescent="0.3">
      <c r="A694" s="48">
        <v>46036</v>
      </c>
      <c r="B694" s="42" t="s">
        <v>34</v>
      </c>
      <c r="D694" s="42" t="s">
        <v>453</v>
      </c>
      <c r="E694" s="42" t="s">
        <v>209</v>
      </c>
      <c r="F694" s="44" t="s">
        <v>344</v>
      </c>
      <c r="I694" s="60"/>
      <c r="J694" s="49">
        <v>1</v>
      </c>
      <c r="K694" s="46">
        <v>1</v>
      </c>
      <c r="L694" s="46"/>
    </row>
    <row r="695" spans="1:12" ht="16.5" customHeight="1" x14ac:dyDescent="0.3">
      <c r="A695" s="48">
        <v>46036</v>
      </c>
      <c r="B695" s="42" t="s">
        <v>34</v>
      </c>
      <c r="D695" s="42" t="s">
        <v>453</v>
      </c>
      <c r="E695" s="42" t="s">
        <v>209</v>
      </c>
      <c r="F695" s="44" t="s">
        <v>345</v>
      </c>
      <c r="I695" s="60"/>
      <c r="J695" s="49">
        <v>1</v>
      </c>
      <c r="K695" s="46">
        <v>4</v>
      </c>
      <c r="L695" s="46"/>
    </row>
    <row r="696" spans="1:12" ht="16.5" customHeight="1" x14ac:dyDescent="0.3">
      <c r="A696" s="48">
        <v>46036</v>
      </c>
      <c r="B696" s="42" t="s">
        <v>34</v>
      </c>
      <c r="D696" s="42" t="s">
        <v>453</v>
      </c>
      <c r="E696" s="42" t="s">
        <v>209</v>
      </c>
      <c r="F696" s="44" t="s">
        <v>346</v>
      </c>
      <c r="I696" s="60"/>
      <c r="J696" s="49">
        <v>1</v>
      </c>
      <c r="K696" s="45">
        <v>4</v>
      </c>
    </row>
    <row r="697" spans="1:12" ht="16.5" customHeight="1" x14ac:dyDescent="0.3">
      <c r="A697" s="48">
        <v>46036</v>
      </c>
      <c r="B697" s="42" t="s">
        <v>34</v>
      </c>
      <c r="D697" s="42" t="s">
        <v>453</v>
      </c>
      <c r="E697" s="42" t="s">
        <v>209</v>
      </c>
      <c r="F697" s="44" t="s">
        <v>347</v>
      </c>
      <c r="I697" s="60"/>
      <c r="J697" s="49">
        <v>1</v>
      </c>
      <c r="K697" s="45">
        <v>0.4</v>
      </c>
    </row>
    <row r="698" spans="1:12" ht="16.5" customHeight="1" x14ac:dyDescent="0.3">
      <c r="A698" s="48">
        <v>46036</v>
      </c>
      <c r="B698" s="42" t="s">
        <v>34</v>
      </c>
      <c r="D698" s="42" t="s">
        <v>453</v>
      </c>
      <c r="E698" s="42" t="s">
        <v>209</v>
      </c>
      <c r="F698" s="44" t="s">
        <v>348</v>
      </c>
      <c r="I698" s="60"/>
      <c r="J698" s="49">
        <v>1</v>
      </c>
      <c r="K698" s="45">
        <v>2.1</v>
      </c>
    </row>
    <row r="699" spans="1:12" ht="16.5" customHeight="1" x14ac:dyDescent="0.3">
      <c r="A699" s="48">
        <v>46036</v>
      </c>
      <c r="B699" s="42" t="s">
        <v>34</v>
      </c>
      <c r="D699" s="42" t="s">
        <v>453</v>
      </c>
      <c r="E699" s="42" t="s">
        <v>209</v>
      </c>
      <c r="F699" s="44" t="s">
        <v>349</v>
      </c>
      <c r="I699" s="60"/>
      <c r="J699" s="49">
        <v>1</v>
      </c>
      <c r="K699" s="45">
        <v>2.5</v>
      </c>
    </row>
    <row r="700" spans="1:12" ht="16.5" customHeight="1" x14ac:dyDescent="0.3">
      <c r="A700" s="48">
        <v>46036</v>
      </c>
      <c r="B700" s="42" t="s">
        <v>34</v>
      </c>
      <c r="D700" s="42" t="s">
        <v>453</v>
      </c>
      <c r="E700" s="42" t="s">
        <v>209</v>
      </c>
      <c r="F700" s="44" t="s">
        <v>350</v>
      </c>
      <c r="I700" s="60"/>
      <c r="J700" s="49">
        <v>1</v>
      </c>
      <c r="K700" s="45">
        <v>1.6</v>
      </c>
    </row>
    <row r="701" spans="1:12" ht="16.5" customHeight="1" x14ac:dyDescent="0.3">
      <c r="A701" s="48">
        <v>46036</v>
      </c>
      <c r="B701" s="42" t="s">
        <v>34</v>
      </c>
      <c r="D701" s="42" t="s">
        <v>453</v>
      </c>
      <c r="E701" s="42" t="s">
        <v>209</v>
      </c>
      <c r="F701" s="44" t="s">
        <v>351</v>
      </c>
      <c r="I701" s="60"/>
      <c r="J701" s="49">
        <v>1</v>
      </c>
      <c r="K701" s="45">
        <v>1.5</v>
      </c>
    </row>
    <row r="702" spans="1:12" ht="16.5" customHeight="1" x14ac:dyDescent="0.3">
      <c r="A702" s="48">
        <v>46036</v>
      </c>
      <c r="B702" s="42" t="s">
        <v>34</v>
      </c>
      <c r="D702" s="42" t="s">
        <v>453</v>
      </c>
      <c r="E702" s="42" t="s">
        <v>209</v>
      </c>
      <c r="F702" s="44" t="s">
        <v>352</v>
      </c>
      <c r="I702" s="60"/>
      <c r="J702" s="49">
        <v>1</v>
      </c>
      <c r="K702" s="45">
        <v>0.2</v>
      </c>
    </row>
    <row r="703" spans="1:12" ht="16.5" customHeight="1" x14ac:dyDescent="0.3">
      <c r="A703" s="48">
        <v>46036</v>
      </c>
      <c r="B703" s="42" t="s">
        <v>34</v>
      </c>
      <c r="D703" s="42" t="s">
        <v>453</v>
      </c>
      <c r="E703" s="42" t="s">
        <v>209</v>
      </c>
      <c r="F703" s="44" t="s">
        <v>353</v>
      </c>
      <c r="I703" s="60"/>
      <c r="J703" s="49">
        <v>1</v>
      </c>
      <c r="K703" s="45">
        <v>2</v>
      </c>
    </row>
    <row r="704" spans="1:12" ht="16.5" customHeight="1" x14ac:dyDescent="0.3">
      <c r="A704" s="48">
        <v>46036</v>
      </c>
      <c r="B704" s="42" t="s">
        <v>34</v>
      </c>
      <c r="D704" s="42" t="s">
        <v>453</v>
      </c>
      <c r="E704" s="42" t="s">
        <v>209</v>
      </c>
      <c r="F704" s="44" t="s">
        <v>354</v>
      </c>
      <c r="I704" s="60"/>
      <c r="J704" s="49">
        <v>1</v>
      </c>
      <c r="K704" s="45">
        <v>2</v>
      </c>
    </row>
    <row r="705" spans="1:11" ht="16.5" customHeight="1" x14ac:dyDescent="0.3">
      <c r="A705" s="48">
        <v>46036</v>
      </c>
      <c r="B705" s="42" t="s">
        <v>34</v>
      </c>
      <c r="D705" s="42" t="s">
        <v>453</v>
      </c>
      <c r="E705" s="42" t="s">
        <v>209</v>
      </c>
      <c r="F705" s="44" t="s">
        <v>355</v>
      </c>
      <c r="I705" s="60"/>
      <c r="J705" s="49">
        <v>1</v>
      </c>
      <c r="K705" s="45">
        <v>5.5</v>
      </c>
    </row>
    <row r="706" spans="1:11" ht="16.5" customHeight="1" x14ac:dyDescent="0.3">
      <c r="A706" s="48">
        <v>46036</v>
      </c>
      <c r="B706" s="42" t="s">
        <v>34</v>
      </c>
      <c r="D706" s="42" t="s">
        <v>453</v>
      </c>
      <c r="E706" s="42" t="s">
        <v>209</v>
      </c>
      <c r="F706" s="44" t="s">
        <v>356</v>
      </c>
      <c r="I706" s="60"/>
      <c r="J706" s="49">
        <v>1</v>
      </c>
      <c r="K706" s="45">
        <v>0.4</v>
      </c>
    </row>
    <row r="707" spans="1:11" ht="16.5" customHeight="1" x14ac:dyDescent="0.3">
      <c r="A707" s="48">
        <v>46036</v>
      </c>
      <c r="B707" s="42" t="s">
        <v>34</v>
      </c>
      <c r="D707" s="42" t="s">
        <v>453</v>
      </c>
      <c r="E707" s="42" t="s">
        <v>209</v>
      </c>
      <c r="F707" s="44" t="s">
        <v>357</v>
      </c>
      <c r="H707" s="68"/>
      <c r="I707" s="59"/>
      <c r="J707" s="49">
        <v>1</v>
      </c>
      <c r="K707" s="45">
        <v>0.9</v>
      </c>
    </row>
    <row r="708" spans="1:11" ht="16.5" customHeight="1" x14ac:dyDescent="0.3">
      <c r="A708" s="48">
        <v>46036</v>
      </c>
      <c r="B708" s="42" t="s">
        <v>34</v>
      </c>
      <c r="D708" s="42" t="s">
        <v>453</v>
      </c>
      <c r="E708" s="42" t="s">
        <v>209</v>
      </c>
      <c r="F708" s="44" t="s">
        <v>358</v>
      </c>
      <c r="I708" s="60"/>
      <c r="J708" s="49">
        <v>1</v>
      </c>
      <c r="K708" s="45">
        <v>0.9</v>
      </c>
    </row>
    <row r="709" spans="1:11" ht="16.5" customHeight="1" x14ac:dyDescent="0.3">
      <c r="A709" s="48">
        <v>46036</v>
      </c>
      <c r="B709" s="42" t="s">
        <v>34</v>
      </c>
      <c r="D709" s="42" t="s">
        <v>453</v>
      </c>
      <c r="E709" s="42" t="s">
        <v>209</v>
      </c>
      <c r="F709" s="44" t="s">
        <v>359</v>
      </c>
      <c r="I709" s="60"/>
      <c r="J709" s="49">
        <v>1</v>
      </c>
      <c r="K709" s="45">
        <v>2.2000000000000002</v>
      </c>
    </row>
    <row r="710" spans="1:11" ht="16.5" customHeight="1" x14ac:dyDescent="0.3">
      <c r="A710" s="48">
        <v>46036</v>
      </c>
      <c r="B710" s="42" t="s">
        <v>34</v>
      </c>
      <c r="D710" s="42" t="s">
        <v>453</v>
      </c>
      <c r="E710" s="42" t="s">
        <v>209</v>
      </c>
      <c r="F710" s="44" t="s">
        <v>360</v>
      </c>
      <c r="I710" s="60"/>
      <c r="J710" s="49">
        <v>1</v>
      </c>
      <c r="K710" s="45">
        <v>1.5</v>
      </c>
    </row>
    <row r="711" spans="1:11" ht="16.5" customHeight="1" x14ac:dyDescent="0.3">
      <c r="A711" s="48">
        <v>46036</v>
      </c>
      <c r="B711" s="42" t="s">
        <v>34</v>
      </c>
      <c r="D711" s="42" t="s">
        <v>453</v>
      </c>
      <c r="E711" s="42" t="s">
        <v>209</v>
      </c>
      <c r="F711" s="44" t="s">
        <v>361</v>
      </c>
      <c r="I711" s="60"/>
      <c r="J711" s="49">
        <v>1</v>
      </c>
      <c r="K711" s="45">
        <v>0.1</v>
      </c>
    </row>
    <row r="712" spans="1:11" ht="16.5" customHeight="1" x14ac:dyDescent="0.3">
      <c r="A712" s="48">
        <v>46036</v>
      </c>
      <c r="B712" s="42" t="s">
        <v>34</v>
      </c>
      <c r="D712" s="42" t="s">
        <v>453</v>
      </c>
      <c r="E712" s="42" t="s">
        <v>209</v>
      </c>
      <c r="F712" s="44" t="s">
        <v>362</v>
      </c>
      <c r="I712" s="60"/>
      <c r="J712" s="49">
        <v>1</v>
      </c>
      <c r="K712" s="45">
        <v>0.4</v>
      </c>
    </row>
    <row r="713" spans="1:11" ht="16.5" customHeight="1" x14ac:dyDescent="0.3">
      <c r="A713" s="48">
        <v>46036</v>
      </c>
      <c r="B713" s="42" t="s">
        <v>34</v>
      </c>
      <c r="D713" s="42" t="s">
        <v>453</v>
      </c>
      <c r="E713" s="42" t="s">
        <v>209</v>
      </c>
      <c r="F713" s="44" t="s">
        <v>363</v>
      </c>
      <c r="I713" s="60"/>
      <c r="J713" s="49">
        <v>1</v>
      </c>
      <c r="K713" s="45">
        <v>0.5</v>
      </c>
    </row>
    <row r="714" spans="1:11" ht="16.5" customHeight="1" x14ac:dyDescent="0.3">
      <c r="A714" s="48">
        <v>46036</v>
      </c>
      <c r="B714" s="42" t="s">
        <v>34</v>
      </c>
      <c r="D714" s="42" t="s">
        <v>453</v>
      </c>
      <c r="E714" s="42" t="s">
        <v>209</v>
      </c>
      <c r="F714" s="44" t="s">
        <v>364</v>
      </c>
      <c r="I714" s="60"/>
      <c r="J714" s="49">
        <v>1</v>
      </c>
      <c r="K714" s="45">
        <v>0.4</v>
      </c>
    </row>
    <row r="715" spans="1:11" ht="16.5" customHeight="1" x14ac:dyDescent="0.3">
      <c r="A715" s="48">
        <v>46036</v>
      </c>
      <c r="B715" s="42" t="s">
        <v>34</v>
      </c>
      <c r="D715" s="42" t="s">
        <v>453</v>
      </c>
      <c r="E715" s="42" t="s">
        <v>209</v>
      </c>
      <c r="F715" s="44" t="s">
        <v>365</v>
      </c>
      <c r="I715" s="60"/>
      <c r="J715" s="49">
        <v>1</v>
      </c>
      <c r="K715" s="45">
        <v>0.1</v>
      </c>
    </row>
    <row r="716" spans="1:11" ht="16.5" customHeight="1" x14ac:dyDescent="0.3">
      <c r="A716" s="48">
        <v>46036</v>
      </c>
      <c r="B716" s="42" t="s">
        <v>34</v>
      </c>
      <c r="D716" s="42" t="s">
        <v>453</v>
      </c>
      <c r="E716" s="42" t="s">
        <v>209</v>
      </c>
      <c r="F716" s="44" t="s">
        <v>366</v>
      </c>
      <c r="I716" s="60"/>
      <c r="J716" s="49">
        <v>1</v>
      </c>
      <c r="K716" s="45">
        <v>0.1</v>
      </c>
    </row>
    <row r="717" spans="1:11" ht="16.5" customHeight="1" x14ac:dyDescent="0.3">
      <c r="A717" s="48">
        <v>46036</v>
      </c>
      <c r="B717" s="42" t="s">
        <v>34</v>
      </c>
      <c r="D717" s="42" t="s">
        <v>453</v>
      </c>
      <c r="E717" s="42" t="s">
        <v>209</v>
      </c>
      <c r="F717" s="44" t="s">
        <v>367</v>
      </c>
      <c r="I717" s="60"/>
      <c r="J717" s="49">
        <v>1</v>
      </c>
      <c r="K717" s="45">
        <v>0.5</v>
      </c>
    </row>
    <row r="718" spans="1:11" ht="16.5" customHeight="1" x14ac:dyDescent="0.3">
      <c r="A718" s="48">
        <v>46036</v>
      </c>
      <c r="B718" s="42" t="s">
        <v>34</v>
      </c>
      <c r="D718" s="42" t="s">
        <v>453</v>
      </c>
      <c r="E718" s="42" t="s">
        <v>209</v>
      </c>
      <c r="F718" s="44" t="s">
        <v>368</v>
      </c>
      <c r="I718" s="60"/>
      <c r="J718" s="49">
        <v>1</v>
      </c>
      <c r="K718" s="45">
        <v>0.4</v>
      </c>
    </row>
    <row r="719" spans="1:11" ht="16.5" customHeight="1" x14ac:dyDescent="0.3">
      <c r="A719" s="48">
        <v>46036</v>
      </c>
      <c r="B719" s="42" t="s">
        <v>34</v>
      </c>
      <c r="D719" s="42" t="s">
        <v>453</v>
      </c>
      <c r="E719" s="42" t="s">
        <v>209</v>
      </c>
      <c r="F719" s="44" t="s">
        <v>369</v>
      </c>
      <c r="I719" s="60"/>
      <c r="J719" s="49">
        <v>1</v>
      </c>
      <c r="K719" s="45">
        <v>0.4</v>
      </c>
    </row>
    <row r="720" spans="1:11" ht="16.5" customHeight="1" x14ac:dyDescent="0.3">
      <c r="A720" s="48">
        <v>46036</v>
      </c>
      <c r="B720" s="42" t="s">
        <v>34</v>
      </c>
      <c r="D720" s="42" t="s">
        <v>453</v>
      </c>
      <c r="E720" s="42" t="s">
        <v>209</v>
      </c>
      <c r="F720" s="44" t="s">
        <v>370</v>
      </c>
      <c r="I720" s="60"/>
      <c r="J720" s="49">
        <v>1</v>
      </c>
      <c r="K720" s="45">
        <v>0.1</v>
      </c>
    </row>
    <row r="721" spans="1:14" ht="16.5" customHeight="1" x14ac:dyDescent="0.3">
      <c r="A721" s="48">
        <v>46036</v>
      </c>
      <c r="B721" s="42" t="s">
        <v>34</v>
      </c>
      <c r="D721" s="42" t="s">
        <v>453</v>
      </c>
      <c r="E721" s="42" t="s">
        <v>209</v>
      </c>
      <c r="F721" s="44" t="s">
        <v>371</v>
      </c>
      <c r="I721" s="60"/>
      <c r="J721" s="49">
        <v>1</v>
      </c>
      <c r="K721" s="45">
        <v>0.1</v>
      </c>
    </row>
    <row r="722" spans="1:14" ht="16.5" customHeight="1" x14ac:dyDescent="0.3">
      <c r="A722" s="48">
        <v>46036</v>
      </c>
      <c r="B722" s="42" t="s">
        <v>34</v>
      </c>
      <c r="D722" s="42" t="s">
        <v>453</v>
      </c>
      <c r="E722" s="42" t="s">
        <v>209</v>
      </c>
      <c r="F722" s="44" t="s">
        <v>372</v>
      </c>
      <c r="I722" s="60"/>
      <c r="J722" s="49">
        <v>1</v>
      </c>
      <c r="K722" s="45">
        <v>0.3</v>
      </c>
    </row>
    <row r="723" spans="1:14" ht="16.5" customHeight="1" x14ac:dyDescent="0.3">
      <c r="A723" s="48">
        <v>46036</v>
      </c>
      <c r="B723" s="42" t="s">
        <v>34</v>
      </c>
      <c r="D723" s="42" t="s">
        <v>453</v>
      </c>
      <c r="E723" s="42" t="s">
        <v>209</v>
      </c>
      <c r="F723" s="44" t="s">
        <v>373</v>
      </c>
      <c r="I723" s="60"/>
      <c r="J723" s="49">
        <v>1</v>
      </c>
      <c r="K723" s="45">
        <v>0.1</v>
      </c>
    </row>
    <row r="724" spans="1:14" ht="16.5" customHeight="1" x14ac:dyDescent="0.3">
      <c r="A724" s="48">
        <v>46036</v>
      </c>
      <c r="B724" s="42" t="s">
        <v>34</v>
      </c>
      <c r="D724" s="42" t="s">
        <v>453</v>
      </c>
      <c r="E724" s="42" t="s">
        <v>209</v>
      </c>
      <c r="F724" s="44" t="s">
        <v>374</v>
      </c>
      <c r="I724" s="60"/>
      <c r="J724" s="49">
        <v>1</v>
      </c>
      <c r="K724" s="45">
        <v>0.7</v>
      </c>
    </row>
    <row r="725" spans="1:14" ht="16.5" customHeight="1" x14ac:dyDescent="0.3">
      <c r="A725" s="48">
        <v>46036</v>
      </c>
      <c r="B725" s="42" t="s">
        <v>34</v>
      </c>
      <c r="D725" s="42" t="s">
        <v>453</v>
      </c>
      <c r="E725" s="42" t="s">
        <v>209</v>
      </c>
      <c r="F725" s="44" t="s">
        <v>375</v>
      </c>
      <c r="G725" s="69"/>
      <c r="I725" s="60"/>
      <c r="J725" s="49">
        <v>1</v>
      </c>
      <c r="K725" s="45">
        <v>1</v>
      </c>
    </row>
    <row r="726" spans="1:14" ht="16.5" customHeight="1" x14ac:dyDescent="0.3">
      <c r="A726" s="48">
        <v>46036</v>
      </c>
      <c r="B726" s="42" t="s">
        <v>34</v>
      </c>
      <c r="D726" s="42" t="s">
        <v>453</v>
      </c>
      <c r="E726" s="42" t="s">
        <v>209</v>
      </c>
      <c r="F726" s="44" t="s">
        <v>376</v>
      </c>
      <c r="I726" s="60"/>
      <c r="J726" s="49">
        <v>1</v>
      </c>
      <c r="K726" s="45">
        <v>0.1</v>
      </c>
    </row>
    <row r="727" spans="1:14" ht="16.5" customHeight="1" x14ac:dyDescent="0.3">
      <c r="A727" s="48">
        <v>46036</v>
      </c>
      <c r="B727" s="42" t="s">
        <v>34</v>
      </c>
      <c r="D727" s="42" t="s">
        <v>453</v>
      </c>
      <c r="E727" s="42" t="s">
        <v>209</v>
      </c>
      <c r="F727" s="44" t="s">
        <v>377</v>
      </c>
      <c r="I727" s="60"/>
      <c r="J727" s="49">
        <v>1</v>
      </c>
      <c r="K727" s="45">
        <v>0.1</v>
      </c>
    </row>
    <row r="728" spans="1:14" ht="16.5" customHeight="1" x14ac:dyDescent="0.3">
      <c r="A728" s="48">
        <v>46036</v>
      </c>
      <c r="B728" s="42" t="s">
        <v>34</v>
      </c>
      <c r="D728" s="42" t="s">
        <v>453</v>
      </c>
      <c r="E728" s="42" t="s">
        <v>209</v>
      </c>
      <c r="F728" s="44" t="s">
        <v>378</v>
      </c>
      <c r="I728" s="60"/>
      <c r="J728" s="49">
        <v>1</v>
      </c>
      <c r="K728" s="45">
        <v>2.7</v>
      </c>
      <c r="M728" s="54"/>
      <c r="N728" s="54"/>
    </row>
    <row r="729" spans="1:14" ht="16.5" customHeight="1" x14ac:dyDescent="0.3">
      <c r="A729" s="48">
        <v>46036</v>
      </c>
      <c r="B729" s="42" t="s">
        <v>34</v>
      </c>
      <c r="D729" s="42" t="s">
        <v>453</v>
      </c>
      <c r="E729" s="42" t="s">
        <v>209</v>
      </c>
      <c r="F729" s="44" t="s">
        <v>379</v>
      </c>
      <c r="H729" s="68"/>
      <c r="I729" s="59"/>
      <c r="J729" s="49">
        <v>1</v>
      </c>
      <c r="K729" s="45">
        <v>1.1000000000000001</v>
      </c>
      <c r="M729" s="54"/>
      <c r="N729" s="54"/>
    </row>
    <row r="730" spans="1:14" ht="16.5" customHeight="1" x14ac:dyDescent="0.3">
      <c r="A730" s="48">
        <v>46036</v>
      </c>
      <c r="B730" s="42" t="s">
        <v>34</v>
      </c>
      <c r="D730" s="42" t="s">
        <v>453</v>
      </c>
      <c r="E730" s="42" t="s">
        <v>209</v>
      </c>
      <c r="F730" s="44" t="s">
        <v>380</v>
      </c>
      <c r="I730" s="60"/>
      <c r="J730" s="49">
        <v>1</v>
      </c>
      <c r="K730" s="45">
        <v>0.5</v>
      </c>
      <c r="M730" s="62"/>
      <c r="N730" s="62"/>
    </row>
    <row r="731" spans="1:14" ht="16.5" customHeight="1" x14ac:dyDescent="0.3">
      <c r="A731" s="48">
        <v>46036</v>
      </c>
      <c r="B731" s="42" t="s">
        <v>34</v>
      </c>
      <c r="D731" s="42" t="s">
        <v>453</v>
      </c>
      <c r="E731" s="42" t="s">
        <v>209</v>
      </c>
      <c r="F731" s="44" t="s">
        <v>381</v>
      </c>
      <c r="I731" s="60"/>
      <c r="J731" s="49">
        <v>1</v>
      </c>
      <c r="K731" s="45">
        <v>0.8</v>
      </c>
    </row>
    <row r="732" spans="1:14" ht="16.5" customHeight="1" x14ac:dyDescent="0.3">
      <c r="A732" s="48">
        <v>46036</v>
      </c>
      <c r="B732" s="42" t="s">
        <v>34</v>
      </c>
      <c r="D732" s="42" t="s">
        <v>453</v>
      </c>
      <c r="E732" s="42" t="s">
        <v>209</v>
      </c>
      <c r="F732" s="44" t="s">
        <v>382</v>
      </c>
      <c r="I732" s="60"/>
      <c r="J732" s="49">
        <v>1</v>
      </c>
      <c r="K732" s="45">
        <v>1.1000000000000001</v>
      </c>
    </row>
    <row r="733" spans="1:14" ht="16.5" customHeight="1" x14ac:dyDescent="0.3">
      <c r="A733" s="48">
        <v>46036</v>
      </c>
      <c r="B733" s="42" t="s">
        <v>34</v>
      </c>
      <c r="D733" s="42" t="s">
        <v>453</v>
      </c>
      <c r="E733" s="42" t="s">
        <v>209</v>
      </c>
      <c r="F733" s="44" t="s">
        <v>383</v>
      </c>
      <c r="I733" s="60"/>
      <c r="J733" s="49">
        <v>1</v>
      </c>
      <c r="K733" s="45">
        <v>0.6</v>
      </c>
    </row>
    <row r="734" spans="1:14" ht="16.5" customHeight="1" x14ac:dyDescent="0.3">
      <c r="A734" s="48">
        <v>46036</v>
      </c>
      <c r="B734" s="42" t="s">
        <v>34</v>
      </c>
      <c r="D734" s="42" t="s">
        <v>453</v>
      </c>
      <c r="E734" s="42" t="s">
        <v>209</v>
      </c>
      <c r="F734" s="44" t="s">
        <v>384</v>
      </c>
      <c r="I734" s="60"/>
      <c r="J734" s="49">
        <v>1</v>
      </c>
      <c r="K734" s="45">
        <v>6.7</v>
      </c>
    </row>
    <row r="735" spans="1:14" ht="16.5" customHeight="1" x14ac:dyDescent="0.3">
      <c r="A735" s="48">
        <v>46036</v>
      </c>
      <c r="B735" s="42" t="s">
        <v>34</v>
      </c>
      <c r="D735" s="42" t="s">
        <v>453</v>
      </c>
      <c r="E735" s="42" t="s">
        <v>209</v>
      </c>
      <c r="F735" s="44" t="s">
        <v>385</v>
      </c>
      <c r="I735" s="60"/>
      <c r="J735" s="49">
        <v>1</v>
      </c>
      <c r="K735" s="45">
        <v>0.1</v>
      </c>
    </row>
    <row r="736" spans="1:14" ht="16.5" customHeight="1" x14ac:dyDescent="0.3">
      <c r="A736" s="48">
        <v>46036</v>
      </c>
      <c r="B736" s="42" t="s">
        <v>34</v>
      </c>
      <c r="D736" s="42" t="s">
        <v>453</v>
      </c>
      <c r="E736" s="42" t="s">
        <v>209</v>
      </c>
      <c r="F736" s="44" t="s">
        <v>386</v>
      </c>
      <c r="I736" s="60"/>
      <c r="J736" s="49">
        <v>1</v>
      </c>
      <c r="K736" s="45">
        <v>1.4</v>
      </c>
    </row>
    <row r="737" spans="1:11" ht="16.5" customHeight="1" x14ac:dyDescent="0.3">
      <c r="A737" s="48">
        <v>46036</v>
      </c>
      <c r="B737" s="42" t="s">
        <v>34</v>
      </c>
      <c r="D737" s="42" t="s">
        <v>453</v>
      </c>
      <c r="E737" s="42" t="s">
        <v>209</v>
      </c>
      <c r="F737" s="44" t="s">
        <v>387</v>
      </c>
      <c r="I737" s="60"/>
      <c r="J737" s="49">
        <v>1</v>
      </c>
      <c r="K737" s="45">
        <v>0.1</v>
      </c>
    </row>
    <row r="738" spans="1:11" ht="16.5" customHeight="1" x14ac:dyDescent="0.3">
      <c r="A738" s="48">
        <v>46036</v>
      </c>
      <c r="B738" s="42" t="s">
        <v>34</v>
      </c>
      <c r="D738" s="42" t="s">
        <v>453</v>
      </c>
      <c r="E738" s="42" t="s">
        <v>209</v>
      </c>
      <c r="F738" s="44" t="s">
        <v>388</v>
      </c>
      <c r="I738" s="60"/>
      <c r="J738" s="49">
        <v>1</v>
      </c>
      <c r="K738" s="45">
        <v>0.1</v>
      </c>
    </row>
    <row r="739" spans="1:11" ht="16.5" customHeight="1" x14ac:dyDescent="0.3">
      <c r="A739" s="48">
        <v>46036</v>
      </c>
      <c r="B739" s="42" t="s">
        <v>34</v>
      </c>
      <c r="D739" s="42" t="s">
        <v>453</v>
      </c>
      <c r="E739" s="42" t="s">
        <v>209</v>
      </c>
      <c r="F739" s="44" t="s">
        <v>389</v>
      </c>
      <c r="I739" s="60"/>
      <c r="J739" s="49">
        <v>1</v>
      </c>
      <c r="K739" s="45">
        <v>6.7</v>
      </c>
    </row>
    <row r="740" spans="1:11" ht="16.5" customHeight="1" x14ac:dyDescent="0.3">
      <c r="A740" s="48">
        <v>46036</v>
      </c>
      <c r="B740" s="42" t="s">
        <v>34</v>
      </c>
      <c r="D740" s="42" t="s">
        <v>453</v>
      </c>
      <c r="E740" s="42" t="s">
        <v>209</v>
      </c>
      <c r="F740" s="44" t="s">
        <v>390</v>
      </c>
      <c r="I740" s="60"/>
      <c r="J740" s="49">
        <v>1</v>
      </c>
      <c r="K740" s="45">
        <v>0.1</v>
      </c>
    </row>
    <row r="741" spans="1:11" ht="16.5" customHeight="1" x14ac:dyDescent="0.3">
      <c r="A741" s="48">
        <v>46036</v>
      </c>
      <c r="B741" s="42" t="s">
        <v>34</v>
      </c>
      <c r="D741" s="42" t="s">
        <v>453</v>
      </c>
      <c r="E741" s="42" t="s">
        <v>209</v>
      </c>
      <c r="F741" s="44" t="s">
        <v>391</v>
      </c>
      <c r="I741" s="60"/>
      <c r="J741" s="49">
        <v>1</v>
      </c>
      <c r="K741" s="45">
        <v>0.8</v>
      </c>
    </row>
    <row r="742" spans="1:11" ht="16.5" customHeight="1" x14ac:dyDescent="0.3">
      <c r="A742" s="48">
        <v>46036</v>
      </c>
      <c r="B742" s="42" t="s">
        <v>34</v>
      </c>
      <c r="D742" s="42" t="s">
        <v>453</v>
      </c>
      <c r="E742" s="42" t="s">
        <v>209</v>
      </c>
      <c r="F742" s="44" t="s">
        <v>392</v>
      </c>
      <c r="I742" s="60"/>
      <c r="J742" s="49">
        <v>1</v>
      </c>
      <c r="K742" s="45">
        <v>2.2000000000000002</v>
      </c>
    </row>
    <row r="743" spans="1:11" ht="16.5" customHeight="1" x14ac:dyDescent="0.3">
      <c r="A743" s="48">
        <v>46036</v>
      </c>
      <c r="B743" s="42" t="s">
        <v>34</v>
      </c>
      <c r="D743" s="42" t="s">
        <v>453</v>
      </c>
      <c r="E743" s="42" t="s">
        <v>209</v>
      </c>
      <c r="F743" s="44" t="s">
        <v>393</v>
      </c>
      <c r="I743" s="60"/>
      <c r="J743" s="49">
        <v>1</v>
      </c>
      <c r="K743" s="45">
        <v>1.3</v>
      </c>
    </row>
    <row r="744" spans="1:11" ht="16.5" customHeight="1" x14ac:dyDescent="0.3">
      <c r="A744" s="48">
        <v>46036</v>
      </c>
      <c r="B744" s="42" t="s">
        <v>34</v>
      </c>
      <c r="D744" s="42" t="s">
        <v>453</v>
      </c>
      <c r="E744" s="42" t="s">
        <v>209</v>
      </c>
      <c r="F744" s="44" t="s">
        <v>394</v>
      </c>
      <c r="I744" s="60"/>
      <c r="J744" s="49">
        <v>1</v>
      </c>
      <c r="K744" s="45">
        <v>1.6</v>
      </c>
    </row>
    <row r="745" spans="1:11" ht="16.5" customHeight="1" x14ac:dyDescent="0.3">
      <c r="A745" s="48">
        <v>46036</v>
      </c>
      <c r="B745" s="42" t="s">
        <v>34</v>
      </c>
      <c r="D745" s="42" t="s">
        <v>453</v>
      </c>
      <c r="E745" s="42" t="s">
        <v>209</v>
      </c>
      <c r="F745" s="44" t="s">
        <v>395</v>
      </c>
      <c r="I745" s="60"/>
      <c r="J745" s="49">
        <v>1</v>
      </c>
      <c r="K745" s="45">
        <v>2.1</v>
      </c>
    </row>
    <row r="746" spans="1:11" ht="16.5" customHeight="1" x14ac:dyDescent="0.3">
      <c r="A746" s="48">
        <v>46036</v>
      </c>
      <c r="B746" s="42" t="s">
        <v>34</v>
      </c>
      <c r="D746" s="42" t="s">
        <v>453</v>
      </c>
      <c r="E746" s="42" t="s">
        <v>209</v>
      </c>
      <c r="F746" s="44" t="s">
        <v>396</v>
      </c>
      <c r="I746" s="60"/>
      <c r="J746" s="49">
        <v>1</v>
      </c>
      <c r="K746" s="45">
        <v>1.7</v>
      </c>
    </row>
    <row r="747" spans="1:11" ht="16.5" customHeight="1" x14ac:dyDescent="0.3">
      <c r="A747" s="48">
        <v>46036</v>
      </c>
      <c r="B747" s="42" t="s">
        <v>34</v>
      </c>
      <c r="D747" s="42" t="s">
        <v>453</v>
      </c>
      <c r="E747" s="42" t="s">
        <v>209</v>
      </c>
      <c r="F747" s="44" t="s">
        <v>397</v>
      </c>
      <c r="I747" s="60"/>
      <c r="J747" s="49">
        <v>1</v>
      </c>
      <c r="K747" s="45">
        <v>1</v>
      </c>
    </row>
    <row r="748" spans="1:11" ht="16.5" customHeight="1" x14ac:dyDescent="0.3">
      <c r="A748" s="48">
        <v>46036</v>
      </c>
      <c r="B748" s="42" t="s">
        <v>34</v>
      </c>
      <c r="D748" s="42" t="s">
        <v>453</v>
      </c>
      <c r="E748" s="42" t="s">
        <v>209</v>
      </c>
      <c r="F748" s="44" t="s">
        <v>398</v>
      </c>
      <c r="I748" s="60"/>
      <c r="J748" s="49">
        <v>1</v>
      </c>
      <c r="K748" s="45">
        <v>0.9</v>
      </c>
    </row>
    <row r="749" spans="1:11" ht="16.5" customHeight="1" x14ac:dyDescent="0.3">
      <c r="A749" s="48">
        <v>46036</v>
      </c>
      <c r="B749" s="42" t="s">
        <v>34</v>
      </c>
      <c r="D749" s="42" t="s">
        <v>453</v>
      </c>
      <c r="E749" s="42" t="s">
        <v>209</v>
      </c>
      <c r="F749" s="44" t="s">
        <v>399</v>
      </c>
      <c r="I749" s="60"/>
      <c r="J749" s="49">
        <v>1</v>
      </c>
      <c r="K749" s="45">
        <v>1.2</v>
      </c>
    </row>
    <row r="750" spans="1:11" ht="16.5" customHeight="1" x14ac:dyDescent="0.3">
      <c r="A750" s="48">
        <v>46036</v>
      </c>
      <c r="B750" s="42" t="s">
        <v>34</v>
      </c>
      <c r="D750" s="42" t="s">
        <v>453</v>
      </c>
      <c r="E750" s="42" t="s">
        <v>209</v>
      </c>
      <c r="F750" s="44" t="s">
        <v>400</v>
      </c>
      <c r="I750" s="60"/>
      <c r="J750" s="49">
        <v>1</v>
      </c>
      <c r="K750" s="45">
        <v>0.4</v>
      </c>
    </row>
    <row r="751" spans="1:11" ht="16.5" customHeight="1" x14ac:dyDescent="0.3">
      <c r="A751" s="48">
        <v>46036</v>
      </c>
      <c r="B751" s="42" t="s">
        <v>34</v>
      </c>
      <c r="D751" s="42" t="s">
        <v>453</v>
      </c>
      <c r="E751" s="42" t="s">
        <v>209</v>
      </c>
      <c r="F751" s="44" t="s">
        <v>401</v>
      </c>
      <c r="I751" s="60"/>
      <c r="J751" s="49">
        <v>1</v>
      </c>
      <c r="K751" s="45">
        <v>0.5</v>
      </c>
    </row>
    <row r="752" spans="1:11" ht="16.5" customHeight="1" x14ac:dyDescent="0.3">
      <c r="A752" s="48">
        <v>46036</v>
      </c>
      <c r="B752" s="42" t="s">
        <v>34</v>
      </c>
      <c r="D752" s="42" t="s">
        <v>453</v>
      </c>
      <c r="E752" s="42" t="s">
        <v>209</v>
      </c>
      <c r="F752" s="44" t="s">
        <v>402</v>
      </c>
      <c r="I752" s="60"/>
      <c r="J752" s="49">
        <v>1</v>
      </c>
      <c r="K752" s="45">
        <v>0.6</v>
      </c>
    </row>
    <row r="753" spans="1:11" ht="16.5" customHeight="1" x14ac:dyDescent="0.3">
      <c r="A753" s="48">
        <v>46036</v>
      </c>
      <c r="B753" s="42" t="s">
        <v>34</v>
      </c>
      <c r="D753" s="42" t="s">
        <v>453</v>
      </c>
      <c r="E753" s="42" t="s">
        <v>209</v>
      </c>
      <c r="F753" s="44" t="s">
        <v>403</v>
      </c>
      <c r="I753" s="60"/>
      <c r="J753" s="49">
        <v>1</v>
      </c>
      <c r="K753" s="45">
        <v>0.5</v>
      </c>
    </row>
    <row r="754" spans="1:11" ht="16.5" customHeight="1" x14ac:dyDescent="0.3">
      <c r="A754" s="48">
        <v>46036</v>
      </c>
      <c r="B754" s="42" t="s">
        <v>34</v>
      </c>
      <c r="D754" s="42" t="s">
        <v>453</v>
      </c>
      <c r="E754" s="42" t="s">
        <v>209</v>
      </c>
      <c r="F754" s="44" t="s">
        <v>404</v>
      </c>
      <c r="I754" s="60"/>
      <c r="J754" s="49">
        <v>1</v>
      </c>
      <c r="K754" s="45">
        <v>0.4</v>
      </c>
    </row>
    <row r="755" spans="1:11" ht="16.5" customHeight="1" x14ac:dyDescent="0.3">
      <c r="A755" s="48">
        <v>46036</v>
      </c>
      <c r="B755" s="42" t="s">
        <v>34</v>
      </c>
      <c r="D755" s="42" t="s">
        <v>453</v>
      </c>
      <c r="E755" s="42" t="s">
        <v>209</v>
      </c>
      <c r="F755" s="44" t="s">
        <v>405</v>
      </c>
      <c r="I755" s="60"/>
      <c r="J755" s="49">
        <v>1</v>
      </c>
      <c r="K755" s="45">
        <v>0.5</v>
      </c>
    </row>
    <row r="756" spans="1:11" ht="16.5" customHeight="1" x14ac:dyDescent="0.3">
      <c r="A756" s="48">
        <v>46036</v>
      </c>
      <c r="B756" s="42" t="s">
        <v>34</v>
      </c>
      <c r="D756" s="42" t="s">
        <v>453</v>
      </c>
      <c r="E756" s="42" t="s">
        <v>209</v>
      </c>
      <c r="F756" s="44" t="s">
        <v>406</v>
      </c>
      <c r="I756" s="60"/>
      <c r="J756" s="49">
        <v>1</v>
      </c>
      <c r="K756" s="45">
        <v>0.7</v>
      </c>
    </row>
    <row r="757" spans="1:11" ht="16.5" customHeight="1" x14ac:dyDescent="0.3">
      <c r="A757" s="48">
        <v>46036</v>
      </c>
      <c r="B757" s="42" t="s">
        <v>34</v>
      </c>
      <c r="D757" s="42" t="s">
        <v>453</v>
      </c>
      <c r="E757" s="42" t="s">
        <v>209</v>
      </c>
      <c r="F757" s="44" t="s">
        <v>407</v>
      </c>
      <c r="I757" s="60"/>
      <c r="J757" s="49">
        <v>1</v>
      </c>
      <c r="K757" s="45">
        <v>0.4</v>
      </c>
    </row>
    <row r="758" spans="1:11" ht="16.5" customHeight="1" x14ac:dyDescent="0.3">
      <c r="A758" s="48">
        <v>46036</v>
      </c>
      <c r="B758" s="42" t="s">
        <v>34</v>
      </c>
      <c r="D758" s="42" t="s">
        <v>453</v>
      </c>
      <c r="E758" s="42" t="s">
        <v>209</v>
      </c>
      <c r="F758" s="44" t="s">
        <v>408</v>
      </c>
      <c r="I758" s="60"/>
      <c r="J758" s="49">
        <v>1</v>
      </c>
      <c r="K758" s="45">
        <v>0.9</v>
      </c>
    </row>
    <row r="759" spans="1:11" ht="16.5" customHeight="1" x14ac:dyDescent="0.3">
      <c r="A759" s="48">
        <v>46036</v>
      </c>
      <c r="B759" s="42" t="s">
        <v>34</v>
      </c>
      <c r="D759" s="42" t="s">
        <v>453</v>
      </c>
      <c r="E759" s="42" t="s">
        <v>209</v>
      </c>
      <c r="F759" s="44" t="s">
        <v>409</v>
      </c>
      <c r="I759" s="60"/>
      <c r="J759" s="49">
        <v>1</v>
      </c>
      <c r="K759" s="45">
        <v>0.6</v>
      </c>
    </row>
    <row r="760" spans="1:11" ht="16.5" customHeight="1" x14ac:dyDescent="0.3">
      <c r="A760" s="48">
        <v>46036</v>
      </c>
      <c r="B760" s="42" t="s">
        <v>34</v>
      </c>
      <c r="D760" s="42" t="s">
        <v>453</v>
      </c>
      <c r="E760" s="42" t="s">
        <v>209</v>
      </c>
      <c r="F760" s="44" t="s">
        <v>410</v>
      </c>
      <c r="I760" s="60"/>
      <c r="J760" s="49">
        <v>1</v>
      </c>
      <c r="K760" s="45">
        <v>0.4</v>
      </c>
    </row>
    <row r="761" spans="1:11" ht="16.5" customHeight="1" x14ac:dyDescent="0.3">
      <c r="A761" s="48">
        <v>46036</v>
      </c>
      <c r="B761" s="42" t="s">
        <v>34</v>
      </c>
      <c r="D761" s="42" t="s">
        <v>453</v>
      </c>
      <c r="E761" s="42" t="s">
        <v>209</v>
      </c>
      <c r="F761" s="44" t="s">
        <v>411</v>
      </c>
      <c r="I761" s="60"/>
      <c r="J761" s="49">
        <v>1</v>
      </c>
      <c r="K761" s="45">
        <v>0.2</v>
      </c>
    </row>
    <row r="762" spans="1:11" ht="16.5" customHeight="1" x14ac:dyDescent="0.3">
      <c r="A762" s="48">
        <v>46036</v>
      </c>
      <c r="B762" s="42" t="s">
        <v>34</v>
      </c>
      <c r="D762" s="42" t="s">
        <v>453</v>
      </c>
      <c r="E762" s="42" t="s">
        <v>209</v>
      </c>
      <c r="F762" s="44" t="s">
        <v>412</v>
      </c>
      <c r="I762" s="60"/>
      <c r="J762" s="49">
        <v>1</v>
      </c>
      <c r="K762" s="45">
        <v>1</v>
      </c>
    </row>
    <row r="763" spans="1:11" ht="16.5" customHeight="1" x14ac:dyDescent="0.3">
      <c r="A763" s="48">
        <v>46036</v>
      </c>
      <c r="B763" s="42" t="s">
        <v>34</v>
      </c>
      <c r="D763" s="42" t="s">
        <v>453</v>
      </c>
      <c r="E763" s="42" t="s">
        <v>209</v>
      </c>
      <c r="F763" s="44" t="s">
        <v>413</v>
      </c>
      <c r="I763" s="60"/>
      <c r="J763" s="49">
        <v>1</v>
      </c>
      <c r="K763" s="45">
        <v>0.9</v>
      </c>
    </row>
    <row r="764" spans="1:11" ht="16.5" customHeight="1" x14ac:dyDescent="0.3">
      <c r="A764" s="48">
        <v>46036</v>
      </c>
      <c r="B764" s="42" t="s">
        <v>34</v>
      </c>
      <c r="D764" s="42" t="s">
        <v>453</v>
      </c>
      <c r="E764" s="42" t="s">
        <v>209</v>
      </c>
      <c r="F764" s="44" t="s">
        <v>414</v>
      </c>
      <c r="I764" s="60"/>
      <c r="J764" s="49">
        <v>1</v>
      </c>
      <c r="K764" s="45">
        <v>0.6</v>
      </c>
    </row>
    <row r="765" spans="1:11" ht="16.5" customHeight="1" x14ac:dyDescent="0.3">
      <c r="A765" s="48">
        <v>46036</v>
      </c>
      <c r="B765" s="42" t="s">
        <v>34</v>
      </c>
      <c r="D765" s="42" t="s">
        <v>453</v>
      </c>
      <c r="E765" s="42" t="s">
        <v>209</v>
      </c>
      <c r="F765" s="44" t="s">
        <v>415</v>
      </c>
      <c r="I765" s="60"/>
      <c r="J765" s="49">
        <v>1</v>
      </c>
      <c r="K765" s="45">
        <v>0.7</v>
      </c>
    </row>
    <row r="766" spans="1:11" ht="16.5" customHeight="1" x14ac:dyDescent="0.3">
      <c r="A766" s="48">
        <v>46036</v>
      </c>
      <c r="B766" s="42" t="s">
        <v>34</v>
      </c>
      <c r="D766" s="42" t="s">
        <v>453</v>
      </c>
      <c r="E766" s="42" t="s">
        <v>209</v>
      </c>
      <c r="F766" s="44" t="s">
        <v>416</v>
      </c>
      <c r="I766" s="60"/>
      <c r="J766" s="49">
        <v>1</v>
      </c>
      <c r="K766" s="45">
        <v>0.3</v>
      </c>
    </row>
    <row r="767" spans="1:11" ht="16.5" customHeight="1" x14ac:dyDescent="0.3">
      <c r="A767" s="48">
        <v>46036</v>
      </c>
      <c r="B767" s="42" t="s">
        <v>34</v>
      </c>
      <c r="D767" s="42" t="s">
        <v>453</v>
      </c>
      <c r="E767" s="42" t="s">
        <v>209</v>
      </c>
      <c r="F767" s="44" t="s">
        <v>417</v>
      </c>
      <c r="I767" s="60"/>
      <c r="J767" s="49">
        <v>1</v>
      </c>
      <c r="K767" s="45">
        <v>1</v>
      </c>
    </row>
    <row r="768" spans="1:11" ht="16.5" customHeight="1" x14ac:dyDescent="0.3">
      <c r="A768" s="48">
        <v>46036</v>
      </c>
      <c r="B768" s="42" t="s">
        <v>34</v>
      </c>
      <c r="D768" s="42" t="s">
        <v>453</v>
      </c>
      <c r="E768" s="42" t="s">
        <v>209</v>
      </c>
      <c r="F768" s="44" t="s">
        <v>418</v>
      </c>
      <c r="I768" s="60"/>
      <c r="J768" s="49">
        <v>1</v>
      </c>
      <c r="K768" s="45">
        <v>2.2000000000000002</v>
      </c>
    </row>
    <row r="769" spans="1:14" ht="16.5" customHeight="1" x14ac:dyDescent="0.3">
      <c r="A769" s="48">
        <v>46036</v>
      </c>
      <c r="B769" s="42" t="s">
        <v>34</v>
      </c>
      <c r="D769" s="42" t="s">
        <v>453</v>
      </c>
      <c r="E769" s="42" t="s">
        <v>209</v>
      </c>
      <c r="F769" s="44" t="s">
        <v>419</v>
      </c>
      <c r="I769" s="60"/>
      <c r="J769" s="49">
        <v>1</v>
      </c>
      <c r="K769" s="45">
        <v>1.9</v>
      </c>
    </row>
    <row r="770" spans="1:14" ht="16.5" customHeight="1" x14ac:dyDescent="0.3">
      <c r="A770" s="48">
        <v>46036</v>
      </c>
      <c r="B770" s="42" t="s">
        <v>34</v>
      </c>
      <c r="D770" s="42" t="s">
        <v>453</v>
      </c>
      <c r="E770" s="42" t="s">
        <v>209</v>
      </c>
      <c r="F770" s="44" t="s">
        <v>420</v>
      </c>
      <c r="I770" s="60"/>
      <c r="J770" s="49">
        <v>1</v>
      </c>
      <c r="K770" s="45">
        <v>0.8</v>
      </c>
    </row>
    <row r="771" spans="1:14" ht="16.5" customHeight="1" x14ac:dyDescent="0.3">
      <c r="A771" s="48">
        <v>46036</v>
      </c>
      <c r="B771" s="42" t="s">
        <v>34</v>
      </c>
      <c r="D771" s="42" t="s">
        <v>453</v>
      </c>
      <c r="E771" s="42" t="s">
        <v>209</v>
      </c>
      <c r="F771" s="44" t="s">
        <v>421</v>
      </c>
      <c r="I771" s="60"/>
      <c r="J771" s="49">
        <v>1</v>
      </c>
      <c r="K771" s="45">
        <v>2.1</v>
      </c>
    </row>
    <row r="772" spans="1:14" ht="16.5" customHeight="1" x14ac:dyDescent="0.3">
      <c r="A772" s="48">
        <v>46036</v>
      </c>
      <c r="B772" s="42" t="s">
        <v>34</v>
      </c>
      <c r="D772" s="42" t="s">
        <v>453</v>
      </c>
      <c r="E772" s="42" t="s">
        <v>209</v>
      </c>
      <c r="F772" s="44" t="s">
        <v>422</v>
      </c>
      <c r="I772" s="60"/>
      <c r="J772" s="49">
        <v>1</v>
      </c>
      <c r="K772" s="45">
        <v>2.1</v>
      </c>
    </row>
    <row r="773" spans="1:14" ht="16.5" customHeight="1" x14ac:dyDescent="0.3">
      <c r="A773" s="48">
        <v>46036</v>
      </c>
      <c r="B773" s="42" t="s">
        <v>34</v>
      </c>
      <c r="D773" s="42" t="s">
        <v>453</v>
      </c>
      <c r="E773" s="42" t="s">
        <v>209</v>
      </c>
      <c r="F773" s="44" t="s">
        <v>423</v>
      </c>
      <c r="I773" s="60"/>
      <c r="J773" s="49">
        <v>1</v>
      </c>
      <c r="K773" s="45">
        <v>1.9</v>
      </c>
    </row>
    <row r="774" spans="1:14" ht="16.5" customHeight="1" x14ac:dyDescent="0.3">
      <c r="A774" s="48">
        <v>46036</v>
      </c>
      <c r="B774" s="42" t="s">
        <v>34</v>
      </c>
      <c r="D774" s="42" t="s">
        <v>453</v>
      </c>
      <c r="E774" s="42" t="s">
        <v>209</v>
      </c>
      <c r="F774" s="44" t="s">
        <v>424</v>
      </c>
      <c r="I774" s="60"/>
      <c r="J774" s="49">
        <v>1</v>
      </c>
      <c r="K774" s="45">
        <v>0.6</v>
      </c>
    </row>
    <row r="775" spans="1:14" ht="16.5" customHeight="1" x14ac:dyDescent="0.3">
      <c r="A775" s="48">
        <v>46036</v>
      </c>
      <c r="B775" s="42" t="s">
        <v>34</v>
      </c>
      <c r="D775" s="42" t="s">
        <v>453</v>
      </c>
      <c r="E775" s="42" t="s">
        <v>209</v>
      </c>
      <c r="F775" s="44" t="s">
        <v>425</v>
      </c>
      <c r="I775" s="60"/>
      <c r="J775" s="49">
        <v>1</v>
      </c>
      <c r="K775" s="45">
        <v>1.4</v>
      </c>
    </row>
    <row r="776" spans="1:14" ht="16.5" customHeight="1" x14ac:dyDescent="0.3">
      <c r="A776" s="48">
        <v>46036</v>
      </c>
      <c r="B776" s="42" t="s">
        <v>34</v>
      </c>
      <c r="D776" s="42" t="s">
        <v>453</v>
      </c>
      <c r="E776" s="42" t="s">
        <v>209</v>
      </c>
      <c r="F776" s="44" t="s">
        <v>426</v>
      </c>
      <c r="I776" s="60"/>
      <c r="J776" s="49">
        <v>1</v>
      </c>
      <c r="K776" s="45">
        <v>0.6</v>
      </c>
    </row>
    <row r="777" spans="1:14" ht="16.5" customHeight="1" x14ac:dyDescent="0.3">
      <c r="A777" s="48">
        <v>46036</v>
      </c>
      <c r="B777" s="42" t="s">
        <v>34</v>
      </c>
      <c r="D777" s="42" t="s">
        <v>453</v>
      </c>
      <c r="E777" s="42" t="s">
        <v>209</v>
      </c>
      <c r="F777" s="44" t="s">
        <v>427</v>
      </c>
      <c r="I777" s="60"/>
      <c r="J777" s="49">
        <v>1</v>
      </c>
      <c r="K777" s="45">
        <v>1.4</v>
      </c>
    </row>
    <row r="778" spans="1:14" ht="16.5" customHeight="1" x14ac:dyDescent="0.3">
      <c r="A778" s="48">
        <v>46036</v>
      </c>
      <c r="B778" s="42" t="s">
        <v>34</v>
      </c>
      <c r="D778" s="42" t="s">
        <v>453</v>
      </c>
      <c r="E778" s="42" t="s">
        <v>209</v>
      </c>
      <c r="F778" s="44" t="s">
        <v>428</v>
      </c>
      <c r="I778" s="60"/>
      <c r="J778" s="49">
        <v>1</v>
      </c>
      <c r="K778" s="45">
        <v>0.6</v>
      </c>
    </row>
    <row r="779" spans="1:14" ht="16.5" customHeight="1" x14ac:dyDescent="0.3">
      <c r="A779" s="48">
        <v>46036</v>
      </c>
      <c r="B779" s="42" t="s">
        <v>34</v>
      </c>
      <c r="D779" s="42" t="s">
        <v>453</v>
      </c>
      <c r="E779" s="42" t="s">
        <v>209</v>
      </c>
      <c r="F779" s="44" t="s">
        <v>429</v>
      </c>
      <c r="I779" s="60"/>
      <c r="J779" s="49">
        <v>1</v>
      </c>
      <c r="K779" s="45">
        <v>1</v>
      </c>
    </row>
    <row r="780" spans="1:14" ht="16.5" customHeight="1" x14ac:dyDescent="0.3">
      <c r="A780" s="48">
        <v>46036</v>
      </c>
      <c r="B780" s="42" t="s">
        <v>34</v>
      </c>
      <c r="D780" s="42" t="s">
        <v>453</v>
      </c>
      <c r="E780" s="42" t="s">
        <v>209</v>
      </c>
      <c r="F780" s="44" t="s">
        <v>430</v>
      </c>
      <c r="I780" s="60"/>
      <c r="J780" s="49">
        <v>1</v>
      </c>
      <c r="K780" s="45">
        <v>0.6</v>
      </c>
    </row>
    <row r="781" spans="1:14" ht="16.5" customHeight="1" x14ac:dyDescent="0.3">
      <c r="A781" s="48">
        <v>46036</v>
      </c>
      <c r="B781" s="42" t="s">
        <v>34</v>
      </c>
      <c r="D781" s="42" t="s">
        <v>453</v>
      </c>
      <c r="E781" s="42" t="s">
        <v>209</v>
      </c>
      <c r="F781" s="44" t="s">
        <v>431</v>
      </c>
      <c r="I781" s="60"/>
      <c r="J781" s="49">
        <v>1</v>
      </c>
      <c r="K781" s="45">
        <v>1.4</v>
      </c>
    </row>
    <row r="782" spans="1:14" ht="16.5" customHeight="1" x14ac:dyDescent="0.3">
      <c r="A782" s="48">
        <v>46036</v>
      </c>
      <c r="B782" s="42" t="s">
        <v>34</v>
      </c>
      <c r="D782" s="42" t="s">
        <v>453</v>
      </c>
      <c r="E782" s="42" t="s">
        <v>209</v>
      </c>
      <c r="F782" s="44" t="s">
        <v>432</v>
      </c>
      <c r="I782" s="60"/>
      <c r="J782" s="49">
        <v>1</v>
      </c>
      <c r="K782" s="45">
        <v>1.6</v>
      </c>
    </row>
    <row r="783" spans="1:14" ht="16.5" customHeight="1" x14ac:dyDescent="0.3">
      <c r="A783" s="48">
        <v>46036</v>
      </c>
      <c r="B783" s="42" t="s">
        <v>34</v>
      </c>
      <c r="D783" s="42" t="s">
        <v>453</v>
      </c>
      <c r="E783" s="42" t="s">
        <v>209</v>
      </c>
      <c r="F783" s="44" t="s">
        <v>433</v>
      </c>
      <c r="I783" s="60"/>
      <c r="J783" s="49">
        <v>1</v>
      </c>
      <c r="K783" s="45">
        <v>1.6</v>
      </c>
      <c r="M783" s="54"/>
      <c r="N783" s="54"/>
    </row>
    <row r="784" spans="1:14" ht="16.5" customHeight="1" x14ac:dyDescent="0.3">
      <c r="A784" s="48">
        <v>46036</v>
      </c>
      <c r="B784" s="42" t="s">
        <v>34</v>
      </c>
      <c r="D784" s="42" t="s">
        <v>453</v>
      </c>
      <c r="E784" s="42" t="s">
        <v>209</v>
      </c>
      <c r="F784" s="44" t="s">
        <v>434</v>
      </c>
      <c r="I784" s="60"/>
      <c r="J784" s="49">
        <v>1</v>
      </c>
      <c r="K784" s="45">
        <v>1.2</v>
      </c>
      <c r="M784" s="54"/>
      <c r="N784" s="54"/>
    </row>
    <row r="785" spans="1:14" ht="16.5" customHeight="1" x14ac:dyDescent="0.3">
      <c r="A785" s="48">
        <v>46036</v>
      </c>
      <c r="B785" s="42" t="s">
        <v>34</v>
      </c>
      <c r="D785" s="42" t="s">
        <v>453</v>
      </c>
      <c r="E785" s="42" t="s">
        <v>209</v>
      </c>
      <c r="F785" s="44" t="s">
        <v>435</v>
      </c>
      <c r="I785" s="60"/>
      <c r="J785" s="49">
        <v>1</v>
      </c>
      <c r="K785" s="45">
        <v>1.9</v>
      </c>
      <c r="M785" s="54"/>
      <c r="N785" s="54"/>
    </row>
    <row r="786" spans="1:14" ht="16.5" customHeight="1" x14ac:dyDescent="0.3">
      <c r="A786" s="48">
        <v>46036</v>
      </c>
      <c r="B786" s="42" t="s">
        <v>34</v>
      </c>
      <c r="D786" s="42" t="s">
        <v>453</v>
      </c>
      <c r="E786" s="42" t="s">
        <v>209</v>
      </c>
      <c r="F786" s="44" t="s">
        <v>436</v>
      </c>
      <c r="I786" s="60"/>
      <c r="J786" s="49">
        <v>1</v>
      </c>
      <c r="K786" s="46">
        <v>0.9</v>
      </c>
      <c r="L786" s="46"/>
      <c r="M786" s="54"/>
      <c r="N786" s="54"/>
    </row>
    <row r="787" spans="1:14" ht="16.5" customHeight="1" x14ac:dyDescent="0.3">
      <c r="A787" s="48">
        <v>46036</v>
      </c>
      <c r="B787" s="42" t="s">
        <v>34</v>
      </c>
      <c r="D787" s="42" t="s">
        <v>453</v>
      </c>
      <c r="E787" s="42" t="s">
        <v>209</v>
      </c>
      <c r="F787" s="44" t="s">
        <v>437</v>
      </c>
      <c r="I787" s="60"/>
      <c r="J787" s="49">
        <v>1</v>
      </c>
      <c r="K787" s="46">
        <v>1.9</v>
      </c>
      <c r="L787" s="46"/>
      <c r="M787" s="54"/>
      <c r="N787" s="54"/>
    </row>
    <row r="788" spans="1:14" ht="16.5" customHeight="1" x14ac:dyDescent="0.3">
      <c r="A788" s="48">
        <v>46036</v>
      </c>
      <c r="B788" s="42" t="s">
        <v>34</v>
      </c>
      <c r="D788" s="42" t="s">
        <v>453</v>
      </c>
      <c r="E788" s="42" t="s">
        <v>209</v>
      </c>
      <c r="F788" s="44" t="s">
        <v>438</v>
      </c>
      <c r="I788" s="60"/>
      <c r="J788" s="49">
        <v>1</v>
      </c>
      <c r="K788" s="45">
        <v>2.4</v>
      </c>
    </row>
    <row r="789" spans="1:14" ht="16.5" customHeight="1" x14ac:dyDescent="0.3">
      <c r="A789" s="48">
        <v>46036</v>
      </c>
      <c r="B789" s="42" t="s">
        <v>34</v>
      </c>
      <c r="D789" s="42" t="s">
        <v>453</v>
      </c>
      <c r="E789" s="42" t="s">
        <v>209</v>
      </c>
      <c r="F789" s="44" t="s">
        <v>439</v>
      </c>
      <c r="I789" s="60"/>
      <c r="J789" s="49">
        <v>1</v>
      </c>
      <c r="K789" s="45">
        <v>0.6</v>
      </c>
    </row>
    <row r="790" spans="1:14" ht="16.5" customHeight="1" x14ac:dyDescent="0.3">
      <c r="A790" s="48">
        <v>46036</v>
      </c>
      <c r="B790" s="42" t="s">
        <v>34</v>
      </c>
      <c r="D790" s="42" t="s">
        <v>453</v>
      </c>
      <c r="E790" s="42" t="s">
        <v>209</v>
      </c>
      <c r="F790" s="44" t="s">
        <v>440</v>
      </c>
      <c r="I790" s="60"/>
      <c r="J790" s="49">
        <v>1</v>
      </c>
      <c r="K790" s="45">
        <v>0.7</v>
      </c>
    </row>
    <row r="791" spans="1:14" ht="16.5" customHeight="1" x14ac:dyDescent="0.3">
      <c r="A791" s="48">
        <v>46036</v>
      </c>
      <c r="B791" s="42" t="s">
        <v>34</v>
      </c>
      <c r="D791" s="42" t="s">
        <v>453</v>
      </c>
      <c r="E791" s="42" t="s">
        <v>209</v>
      </c>
      <c r="F791" s="44" t="s">
        <v>441</v>
      </c>
      <c r="I791" s="60"/>
      <c r="J791" s="49">
        <v>1</v>
      </c>
      <c r="K791" s="45">
        <v>1.5</v>
      </c>
    </row>
    <row r="792" spans="1:14" ht="16.5" customHeight="1" x14ac:dyDescent="0.3">
      <c r="A792" s="48">
        <v>46036</v>
      </c>
      <c r="B792" s="42" t="s">
        <v>34</v>
      </c>
      <c r="D792" s="42" t="s">
        <v>453</v>
      </c>
      <c r="E792" s="42" t="s">
        <v>209</v>
      </c>
      <c r="F792" s="44" t="s">
        <v>442</v>
      </c>
      <c r="I792" s="60"/>
      <c r="J792" s="49">
        <v>1</v>
      </c>
      <c r="K792" s="45">
        <v>0.6</v>
      </c>
    </row>
    <row r="793" spans="1:14" ht="16.5" customHeight="1" x14ac:dyDescent="0.3">
      <c r="A793" s="48">
        <v>46036</v>
      </c>
      <c r="B793" s="42" t="s">
        <v>34</v>
      </c>
      <c r="D793" s="42" t="s">
        <v>453</v>
      </c>
      <c r="E793" s="42" t="s">
        <v>209</v>
      </c>
      <c r="F793" s="44" t="s">
        <v>443</v>
      </c>
      <c r="I793" s="60"/>
      <c r="J793" s="49">
        <v>1</v>
      </c>
      <c r="K793" s="45">
        <v>0.1</v>
      </c>
    </row>
    <row r="794" spans="1:14" ht="16.5" customHeight="1" x14ac:dyDescent="0.3">
      <c r="A794" s="48">
        <v>46036</v>
      </c>
      <c r="B794" s="42" t="s">
        <v>34</v>
      </c>
      <c r="D794" s="42" t="s">
        <v>453</v>
      </c>
      <c r="E794" s="42" t="s">
        <v>209</v>
      </c>
      <c r="F794" s="44" t="s">
        <v>444</v>
      </c>
      <c r="I794" s="60"/>
      <c r="J794" s="49">
        <v>1</v>
      </c>
      <c r="K794" s="45">
        <v>0.4</v>
      </c>
    </row>
    <row r="795" spans="1:14" ht="16.5" customHeight="1" x14ac:dyDescent="0.3">
      <c r="A795" s="48">
        <v>46036</v>
      </c>
      <c r="B795" s="42" t="s">
        <v>34</v>
      </c>
      <c r="D795" s="42" t="s">
        <v>453</v>
      </c>
      <c r="E795" s="42" t="s">
        <v>209</v>
      </c>
      <c r="F795" s="44" t="s">
        <v>445</v>
      </c>
      <c r="I795" s="60"/>
      <c r="J795" s="49">
        <v>1</v>
      </c>
      <c r="K795" s="45">
        <v>0.4</v>
      </c>
    </row>
    <row r="796" spans="1:14" ht="16.5" customHeight="1" x14ac:dyDescent="0.3">
      <c r="A796" s="48">
        <v>46036</v>
      </c>
      <c r="B796" s="42" t="s">
        <v>34</v>
      </c>
      <c r="D796" s="42" t="s">
        <v>453</v>
      </c>
      <c r="E796" s="42" t="s">
        <v>209</v>
      </c>
      <c r="F796" s="44" t="s">
        <v>446</v>
      </c>
      <c r="I796" s="60"/>
      <c r="J796" s="49">
        <v>1</v>
      </c>
      <c r="K796" s="45">
        <v>0.1</v>
      </c>
    </row>
    <row r="797" spans="1:14" ht="16.5" customHeight="1" x14ac:dyDescent="0.3">
      <c r="A797" s="48">
        <v>46036</v>
      </c>
      <c r="B797" s="42" t="s">
        <v>34</v>
      </c>
      <c r="D797" s="42" t="s">
        <v>453</v>
      </c>
      <c r="E797" s="42" t="s">
        <v>209</v>
      </c>
      <c r="F797" s="44" t="s">
        <v>447</v>
      </c>
      <c r="I797" s="60"/>
      <c r="J797" s="49">
        <v>1</v>
      </c>
      <c r="K797" s="45">
        <v>0.1</v>
      </c>
    </row>
    <row r="798" spans="1:14" ht="16.5" customHeight="1" x14ac:dyDescent="0.3">
      <c r="A798" s="48">
        <v>46036</v>
      </c>
      <c r="B798" s="42" t="s">
        <v>34</v>
      </c>
      <c r="D798" s="42" t="s">
        <v>453</v>
      </c>
      <c r="E798" s="42" t="s">
        <v>209</v>
      </c>
      <c r="F798" s="44" t="s">
        <v>448</v>
      </c>
      <c r="I798" s="60"/>
      <c r="J798" s="49">
        <v>1</v>
      </c>
      <c r="K798" s="45">
        <v>0.4</v>
      </c>
    </row>
    <row r="799" spans="1:14" ht="16.5" customHeight="1" x14ac:dyDescent="0.3">
      <c r="A799" s="48">
        <v>46036</v>
      </c>
      <c r="B799" s="42" t="s">
        <v>34</v>
      </c>
      <c r="D799" s="42" t="s">
        <v>453</v>
      </c>
      <c r="E799" s="42" t="s">
        <v>209</v>
      </c>
      <c r="F799" s="44" t="s">
        <v>449</v>
      </c>
      <c r="I799" s="60"/>
      <c r="J799" s="49">
        <v>1</v>
      </c>
      <c r="K799" s="45">
        <v>0.6</v>
      </c>
    </row>
    <row r="800" spans="1:14" ht="16.5" customHeight="1" x14ac:dyDescent="0.3">
      <c r="A800" s="48">
        <v>46036</v>
      </c>
      <c r="B800" s="42" t="s">
        <v>34</v>
      </c>
      <c r="D800" s="42" t="s">
        <v>453</v>
      </c>
      <c r="E800" s="42" t="s">
        <v>209</v>
      </c>
      <c r="F800" s="44" t="s">
        <v>450</v>
      </c>
      <c r="I800" s="60"/>
      <c r="J800" s="49">
        <v>1</v>
      </c>
      <c r="K800" s="45">
        <v>1</v>
      </c>
    </row>
    <row r="801" spans="1:15" ht="16.5" customHeight="1" x14ac:dyDescent="0.3">
      <c r="A801" s="48">
        <v>46036</v>
      </c>
      <c r="B801" s="42" t="s">
        <v>34</v>
      </c>
      <c r="D801" s="42" t="s">
        <v>453</v>
      </c>
      <c r="E801" s="42" t="s">
        <v>209</v>
      </c>
      <c r="F801" s="44" t="s">
        <v>451</v>
      </c>
      <c r="H801" s="68"/>
      <c r="I801" s="59"/>
      <c r="J801" s="49">
        <v>1</v>
      </c>
      <c r="K801" s="45">
        <v>0.2</v>
      </c>
    </row>
    <row r="802" spans="1:15" ht="16.5" customHeight="1" x14ac:dyDescent="0.3">
      <c r="A802" s="48">
        <v>46036</v>
      </c>
      <c r="B802" s="42" t="s">
        <v>34</v>
      </c>
      <c r="D802" s="42" t="s">
        <v>453</v>
      </c>
      <c r="E802" s="42" t="s">
        <v>209</v>
      </c>
      <c r="F802" s="44" t="s">
        <v>452</v>
      </c>
      <c r="I802" s="60"/>
      <c r="J802" s="49">
        <v>1</v>
      </c>
      <c r="K802" s="45">
        <v>0.3</v>
      </c>
    </row>
    <row r="803" spans="1:15" s="13" customFormat="1" ht="16.5" customHeight="1" x14ac:dyDescent="0.3">
      <c r="A803" s="48">
        <v>46036</v>
      </c>
      <c r="B803" s="42" t="s">
        <v>34</v>
      </c>
      <c r="C803" s="42"/>
      <c r="D803" s="42" t="s">
        <v>453</v>
      </c>
      <c r="E803" s="42" t="s">
        <v>36</v>
      </c>
      <c r="F803" s="44" t="s">
        <v>37</v>
      </c>
      <c r="G803" s="44"/>
      <c r="H803" s="44" t="s">
        <v>39</v>
      </c>
      <c r="I803" s="44" t="s">
        <v>46</v>
      </c>
      <c r="J803" s="49">
        <v>3</v>
      </c>
      <c r="K803" s="45">
        <v>187</v>
      </c>
      <c r="L803" s="45"/>
      <c r="M803" s="50"/>
      <c r="N803" s="50"/>
      <c r="O803" s="51">
        <v>275.7</v>
      </c>
    </row>
    <row r="804" spans="1:15" ht="16.5" customHeight="1" x14ac:dyDescent="0.3">
      <c r="A804" s="48">
        <v>46036</v>
      </c>
      <c r="B804" s="42" t="s">
        <v>34</v>
      </c>
      <c r="D804" s="42" t="s">
        <v>453</v>
      </c>
      <c r="E804" s="42" t="s">
        <v>40</v>
      </c>
      <c r="F804" s="44" t="s">
        <v>41</v>
      </c>
      <c r="H804" s="44" t="s">
        <v>39</v>
      </c>
      <c r="I804" s="44" t="s">
        <v>46</v>
      </c>
      <c r="J804" s="49">
        <v>3</v>
      </c>
      <c r="K804" s="46">
        <v>24.5</v>
      </c>
      <c r="L804" s="46"/>
    </row>
    <row r="805" spans="1:15" ht="16.5" customHeight="1" x14ac:dyDescent="0.3">
      <c r="A805" s="48">
        <v>46036</v>
      </c>
      <c r="B805" s="42" t="s">
        <v>34</v>
      </c>
      <c r="D805" s="42" t="s">
        <v>453</v>
      </c>
      <c r="E805" s="42" t="s">
        <v>40</v>
      </c>
      <c r="F805" s="44" t="s">
        <v>42</v>
      </c>
      <c r="H805" s="44" t="s">
        <v>39</v>
      </c>
      <c r="I805" s="44" t="s">
        <v>46</v>
      </c>
      <c r="J805" s="49">
        <v>3</v>
      </c>
      <c r="K805" s="45">
        <v>19.600000000000001</v>
      </c>
      <c r="M805" s="52"/>
    </row>
    <row r="806" spans="1:15" ht="16.5" customHeight="1" x14ac:dyDescent="0.3">
      <c r="A806" s="48">
        <v>46036</v>
      </c>
      <c r="B806" s="42" t="s">
        <v>34</v>
      </c>
      <c r="D806" s="42" t="s">
        <v>453</v>
      </c>
      <c r="E806" s="42" t="s">
        <v>40</v>
      </c>
      <c r="F806" s="44" t="s">
        <v>43</v>
      </c>
      <c r="H806" s="44" t="s">
        <v>39</v>
      </c>
      <c r="I806" s="44" t="s">
        <v>46</v>
      </c>
      <c r="J806" s="49">
        <v>3</v>
      </c>
      <c r="K806" s="45">
        <v>7.1</v>
      </c>
    </row>
    <row r="807" spans="1:15" ht="16.5" customHeight="1" x14ac:dyDescent="0.3">
      <c r="A807" s="48">
        <v>46036</v>
      </c>
      <c r="B807" s="42" t="s">
        <v>34</v>
      </c>
      <c r="D807" s="42" t="s">
        <v>453</v>
      </c>
      <c r="E807" s="42" t="s">
        <v>45</v>
      </c>
      <c r="F807" s="44" t="s">
        <v>44</v>
      </c>
      <c r="H807" s="44" t="s">
        <v>39</v>
      </c>
      <c r="I807" s="44" t="s">
        <v>46</v>
      </c>
      <c r="J807" s="49">
        <v>3</v>
      </c>
      <c r="K807" s="45">
        <v>62.4</v>
      </c>
    </row>
    <row r="808" spans="1:15" ht="16.5" customHeight="1" x14ac:dyDescent="0.3">
      <c r="A808" s="48">
        <v>46036</v>
      </c>
      <c r="B808" s="42" t="s">
        <v>34</v>
      </c>
      <c r="D808" s="42" t="s">
        <v>575</v>
      </c>
      <c r="E808" s="42" t="s">
        <v>52</v>
      </c>
      <c r="J808" s="53">
        <v>1</v>
      </c>
      <c r="K808" s="45">
        <v>12.7</v>
      </c>
      <c r="L808" s="12"/>
    </row>
    <row r="809" spans="1:15" ht="16.5" customHeight="1" x14ac:dyDescent="0.3">
      <c r="A809" s="48">
        <v>46036</v>
      </c>
      <c r="B809" s="42" t="s">
        <v>34</v>
      </c>
      <c r="D809" s="42" t="s">
        <v>575</v>
      </c>
      <c r="E809" s="42" t="s">
        <v>53</v>
      </c>
      <c r="J809" s="53">
        <v>1</v>
      </c>
      <c r="K809" s="45">
        <v>581.20000000000005</v>
      </c>
      <c r="L809" s="8"/>
    </row>
    <row r="810" spans="1:15" ht="16.5" customHeight="1" x14ac:dyDescent="0.3">
      <c r="A810" s="48">
        <v>46036</v>
      </c>
      <c r="B810" s="42" t="s">
        <v>34</v>
      </c>
      <c r="D810" s="42" t="s">
        <v>575</v>
      </c>
      <c r="E810" s="42" t="s">
        <v>54</v>
      </c>
      <c r="J810" s="53">
        <v>1</v>
      </c>
      <c r="K810" s="45">
        <v>47.4</v>
      </c>
      <c r="L810" s="8"/>
    </row>
    <row r="811" spans="1:15" ht="16.5" customHeight="1" x14ac:dyDescent="0.3">
      <c r="A811" s="48">
        <v>46036</v>
      </c>
      <c r="B811" s="42" t="s">
        <v>34</v>
      </c>
      <c r="D811" s="42" t="s">
        <v>575</v>
      </c>
      <c r="E811" s="42" t="s">
        <v>55</v>
      </c>
      <c r="J811" s="53">
        <v>1</v>
      </c>
      <c r="K811" s="45">
        <v>96.6</v>
      </c>
      <c r="L811" s="8"/>
    </row>
    <row r="812" spans="1:15" ht="16.5" customHeight="1" x14ac:dyDescent="0.3">
      <c r="A812" s="48">
        <v>46036</v>
      </c>
      <c r="B812" s="42" t="s">
        <v>34</v>
      </c>
      <c r="D812" s="42" t="s">
        <v>575</v>
      </c>
      <c r="E812" s="42" t="s">
        <v>7</v>
      </c>
      <c r="J812" s="53">
        <v>1</v>
      </c>
      <c r="K812" s="45">
        <v>4709.6000000000004</v>
      </c>
      <c r="L812" s="8"/>
    </row>
    <row r="813" spans="1:15" ht="16.5" customHeight="1" x14ac:dyDescent="0.3">
      <c r="A813" s="48">
        <v>46036</v>
      </c>
      <c r="B813" s="42" t="s">
        <v>34</v>
      </c>
      <c r="D813" s="42" t="s">
        <v>575</v>
      </c>
      <c r="E813" s="42" t="s">
        <v>57</v>
      </c>
      <c r="J813" s="53">
        <v>1</v>
      </c>
      <c r="K813" s="45">
        <v>1747</v>
      </c>
      <c r="L813" s="8"/>
    </row>
    <row r="814" spans="1:15" ht="16.5" customHeight="1" x14ac:dyDescent="0.3">
      <c r="A814" s="48">
        <v>46036</v>
      </c>
      <c r="B814" s="42" t="s">
        <v>34</v>
      </c>
      <c r="D814" s="42" t="s">
        <v>575</v>
      </c>
      <c r="E814" s="42" t="s">
        <v>58</v>
      </c>
      <c r="J814" s="53">
        <v>1</v>
      </c>
      <c r="K814" s="45">
        <v>1778.8</v>
      </c>
      <c r="L814" s="8"/>
    </row>
    <row r="815" spans="1:15" ht="16.5" customHeight="1" x14ac:dyDescent="0.3">
      <c r="A815" s="48">
        <v>46036</v>
      </c>
      <c r="B815" s="42" t="s">
        <v>34</v>
      </c>
      <c r="D815" s="42" t="s">
        <v>575</v>
      </c>
      <c r="E815" s="42" t="s">
        <v>59</v>
      </c>
      <c r="J815" s="53">
        <v>1</v>
      </c>
      <c r="K815" s="45">
        <v>338.4</v>
      </c>
      <c r="L815" s="8"/>
    </row>
    <row r="816" spans="1:15" ht="16.5" customHeight="1" x14ac:dyDescent="0.3">
      <c r="A816" s="48">
        <v>46036</v>
      </c>
      <c r="B816" s="42" t="s">
        <v>34</v>
      </c>
      <c r="D816" s="42" t="s">
        <v>575</v>
      </c>
      <c r="E816" s="42" t="s">
        <v>60</v>
      </c>
      <c r="J816" s="53">
        <v>1</v>
      </c>
      <c r="K816" s="45">
        <v>7.5</v>
      </c>
      <c r="L816" s="8"/>
    </row>
    <row r="817" spans="1:12" ht="16.5" customHeight="1" x14ac:dyDescent="0.3">
      <c r="A817" s="48">
        <v>46036</v>
      </c>
      <c r="B817" s="42" t="s">
        <v>34</v>
      </c>
      <c r="D817" s="42" t="s">
        <v>575</v>
      </c>
      <c r="E817" s="42" t="s">
        <v>61</v>
      </c>
      <c r="J817" s="53">
        <v>1</v>
      </c>
      <c r="K817" s="45">
        <v>12.6</v>
      </c>
      <c r="L817" s="8"/>
    </row>
    <row r="818" spans="1:12" ht="16.5" customHeight="1" x14ac:dyDescent="0.3">
      <c r="A818" s="48">
        <v>46036</v>
      </c>
      <c r="B818" s="42" t="s">
        <v>34</v>
      </c>
      <c r="D818" s="42" t="s">
        <v>575</v>
      </c>
      <c r="E818" s="42" t="s">
        <v>62</v>
      </c>
      <c r="J818" s="53">
        <v>1</v>
      </c>
      <c r="K818" s="45">
        <v>12.6</v>
      </c>
      <c r="L818" s="8"/>
    </row>
    <row r="819" spans="1:12" ht="16.5" customHeight="1" x14ac:dyDescent="0.3">
      <c r="A819" s="48">
        <v>46036</v>
      </c>
      <c r="B819" s="42" t="s">
        <v>34</v>
      </c>
      <c r="D819" s="42" t="s">
        <v>575</v>
      </c>
      <c r="E819" s="42" t="s">
        <v>63</v>
      </c>
      <c r="J819" s="53">
        <v>1</v>
      </c>
      <c r="K819" s="45">
        <v>12.6</v>
      </c>
      <c r="L819" s="8"/>
    </row>
    <row r="820" spans="1:12" ht="16.5" customHeight="1" x14ac:dyDescent="0.3">
      <c r="A820" s="48">
        <v>46036</v>
      </c>
      <c r="B820" s="42" t="s">
        <v>34</v>
      </c>
      <c r="D820" s="42" t="s">
        <v>575</v>
      </c>
      <c r="E820" s="42" t="s">
        <v>64</v>
      </c>
      <c r="J820" s="53">
        <v>1</v>
      </c>
      <c r="K820" s="45">
        <v>12.6</v>
      </c>
      <c r="L820" s="8"/>
    </row>
    <row r="821" spans="1:12" ht="16.5" customHeight="1" x14ac:dyDescent="0.3">
      <c r="A821" s="48">
        <v>46036</v>
      </c>
      <c r="B821" s="42" t="s">
        <v>34</v>
      </c>
      <c r="D821" s="42" t="s">
        <v>575</v>
      </c>
      <c r="E821" s="42" t="s">
        <v>65</v>
      </c>
      <c r="J821" s="53">
        <v>1</v>
      </c>
      <c r="K821" s="45">
        <v>2.5</v>
      </c>
      <c r="L821" s="8"/>
    </row>
    <row r="822" spans="1:12" ht="16.5" customHeight="1" x14ac:dyDescent="0.3">
      <c r="A822" s="48">
        <v>46036</v>
      </c>
      <c r="B822" s="42" t="s">
        <v>34</v>
      </c>
      <c r="D822" s="42" t="s">
        <v>575</v>
      </c>
      <c r="E822" s="42" t="s">
        <v>66</v>
      </c>
      <c r="J822" s="53">
        <v>1</v>
      </c>
      <c r="K822" s="45">
        <v>6.5</v>
      </c>
      <c r="L822" s="8"/>
    </row>
    <row r="823" spans="1:12" ht="16.5" customHeight="1" x14ac:dyDescent="0.3">
      <c r="A823" s="48">
        <v>46036</v>
      </c>
      <c r="B823" s="42" t="s">
        <v>34</v>
      </c>
      <c r="D823" s="42" t="s">
        <v>575</v>
      </c>
      <c r="E823" s="42" t="s">
        <v>67</v>
      </c>
      <c r="J823" s="53">
        <v>1</v>
      </c>
      <c r="K823" s="45">
        <v>3.8</v>
      </c>
      <c r="L823" s="8"/>
    </row>
    <row r="824" spans="1:12" ht="16.5" customHeight="1" x14ac:dyDescent="0.3">
      <c r="A824" s="48">
        <v>46036</v>
      </c>
      <c r="B824" s="42" t="s">
        <v>34</v>
      </c>
      <c r="D824" s="42" t="s">
        <v>575</v>
      </c>
      <c r="E824" s="42" t="s">
        <v>68</v>
      </c>
      <c r="J824" s="53">
        <v>1</v>
      </c>
      <c r="K824" s="45">
        <v>76</v>
      </c>
      <c r="L824" s="8"/>
    </row>
    <row r="825" spans="1:12" ht="16.5" customHeight="1" x14ac:dyDescent="0.3">
      <c r="A825" s="48">
        <v>46036</v>
      </c>
      <c r="B825" s="42" t="s">
        <v>34</v>
      </c>
      <c r="D825" s="42" t="s">
        <v>575</v>
      </c>
      <c r="E825" s="42" t="s">
        <v>69</v>
      </c>
      <c r="J825" s="53">
        <v>1</v>
      </c>
      <c r="K825" s="45">
        <v>14.1</v>
      </c>
      <c r="L825" s="8"/>
    </row>
    <row r="826" spans="1:12" ht="16.5" customHeight="1" x14ac:dyDescent="0.3">
      <c r="A826" s="48">
        <v>46036</v>
      </c>
      <c r="B826" s="42" t="s">
        <v>34</v>
      </c>
      <c r="D826" s="42" t="s">
        <v>575</v>
      </c>
      <c r="E826" s="42" t="s">
        <v>70</v>
      </c>
      <c r="J826" s="53">
        <v>1</v>
      </c>
      <c r="K826" s="45">
        <v>7.8</v>
      </c>
      <c r="L826" s="8"/>
    </row>
    <row r="827" spans="1:12" ht="16.5" customHeight="1" x14ac:dyDescent="0.3">
      <c r="A827" s="48">
        <v>46036</v>
      </c>
      <c r="B827" s="42" t="s">
        <v>34</v>
      </c>
      <c r="D827" s="42" t="s">
        <v>575</v>
      </c>
      <c r="E827" s="42" t="s">
        <v>71</v>
      </c>
      <c r="J827" s="53">
        <v>1</v>
      </c>
      <c r="K827" s="45">
        <v>192</v>
      </c>
      <c r="L827" s="8"/>
    </row>
    <row r="828" spans="1:12" ht="16.5" customHeight="1" x14ac:dyDescent="0.3">
      <c r="A828" s="48">
        <v>46036</v>
      </c>
      <c r="B828" s="42" t="s">
        <v>34</v>
      </c>
      <c r="D828" s="42" t="s">
        <v>575</v>
      </c>
      <c r="E828" s="42" t="s">
        <v>73</v>
      </c>
      <c r="J828" s="53">
        <v>1</v>
      </c>
      <c r="K828" s="45">
        <v>69</v>
      </c>
      <c r="L828" s="8"/>
    </row>
    <row r="829" spans="1:12" ht="16.5" customHeight="1" x14ac:dyDescent="0.3">
      <c r="A829" s="48">
        <v>46036</v>
      </c>
      <c r="B829" s="42" t="s">
        <v>34</v>
      </c>
      <c r="D829" s="42" t="s">
        <v>575</v>
      </c>
      <c r="E829" s="42" t="s">
        <v>719</v>
      </c>
      <c r="J829" s="49">
        <v>1</v>
      </c>
      <c r="K829" s="45">
        <v>263</v>
      </c>
      <c r="L829" s="8"/>
    </row>
    <row r="830" spans="1:12" ht="16.5" customHeight="1" x14ac:dyDescent="0.3">
      <c r="A830" s="48">
        <v>46036</v>
      </c>
      <c r="B830" s="42" t="s">
        <v>34</v>
      </c>
      <c r="D830" s="42" t="s">
        <v>575</v>
      </c>
      <c r="E830" s="42" t="s">
        <v>72</v>
      </c>
      <c r="F830" s="44" t="s">
        <v>47</v>
      </c>
      <c r="J830" s="49">
        <v>4</v>
      </c>
      <c r="K830" s="46">
        <v>30.1</v>
      </c>
      <c r="L830" s="46"/>
    </row>
    <row r="831" spans="1:12" ht="16.5" customHeight="1" x14ac:dyDescent="0.3">
      <c r="A831" s="48">
        <v>46036</v>
      </c>
      <c r="B831" s="42" t="s">
        <v>34</v>
      </c>
      <c r="D831" s="42" t="s">
        <v>575</v>
      </c>
      <c r="E831" s="42" t="s">
        <v>72</v>
      </c>
      <c r="F831" s="44" t="s">
        <v>48</v>
      </c>
      <c r="J831" s="49">
        <v>2</v>
      </c>
      <c r="K831" s="46">
        <v>11.9</v>
      </c>
      <c r="L831" s="46"/>
    </row>
    <row r="832" spans="1:12" ht="16.5" customHeight="1" x14ac:dyDescent="0.3">
      <c r="A832" s="48">
        <v>46036</v>
      </c>
      <c r="B832" s="42" t="s">
        <v>34</v>
      </c>
      <c r="D832" s="42" t="s">
        <v>575</v>
      </c>
      <c r="E832" s="42" t="s">
        <v>72</v>
      </c>
      <c r="F832" s="44" t="s">
        <v>49</v>
      </c>
      <c r="J832" s="49">
        <v>1</v>
      </c>
      <c r="K832" s="46">
        <v>11.1</v>
      </c>
      <c r="L832" s="46"/>
    </row>
    <row r="833" spans="1:12" ht="16.5" customHeight="1" x14ac:dyDescent="0.3">
      <c r="A833" s="48">
        <v>46036</v>
      </c>
      <c r="B833" s="42" t="s">
        <v>34</v>
      </c>
      <c r="D833" s="42" t="s">
        <v>575</v>
      </c>
      <c r="E833" s="42" t="s">
        <v>72</v>
      </c>
      <c r="F833" s="44" t="s">
        <v>50</v>
      </c>
      <c r="J833" s="49">
        <v>1</v>
      </c>
      <c r="K833" s="46">
        <v>14</v>
      </c>
      <c r="L833" s="46"/>
    </row>
    <row r="834" spans="1:12" ht="16.5" customHeight="1" x14ac:dyDescent="0.3">
      <c r="A834" s="48">
        <v>46036</v>
      </c>
      <c r="B834" s="42" t="s">
        <v>34</v>
      </c>
      <c r="D834" s="42" t="s">
        <v>575</v>
      </c>
      <c r="E834" s="42" t="s">
        <v>74</v>
      </c>
      <c r="F834" s="44" t="s">
        <v>584</v>
      </c>
      <c r="H834" s="44" t="s">
        <v>39</v>
      </c>
      <c r="J834" s="49">
        <v>1</v>
      </c>
      <c r="K834" s="45">
        <v>7.78</v>
      </c>
      <c r="L834" s="46"/>
    </row>
    <row r="835" spans="1:12" ht="16.5" customHeight="1" x14ac:dyDescent="0.3">
      <c r="A835" s="48">
        <v>46036</v>
      </c>
      <c r="B835" s="42" t="s">
        <v>34</v>
      </c>
      <c r="D835" s="42" t="s">
        <v>575</v>
      </c>
      <c r="E835" s="42" t="s">
        <v>74</v>
      </c>
      <c r="F835" s="44" t="s">
        <v>585</v>
      </c>
      <c r="H835" s="44" t="s">
        <v>39</v>
      </c>
      <c r="J835" s="49">
        <v>1</v>
      </c>
      <c r="K835" s="45">
        <v>7.78</v>
      </c>
    </row>
    <row r="836" spans="1:12" ht="16.5" customHeight="1" x14ac:dyDescent="0.3">
      <c r="A836" s="48">
        <v>46036</v>
      </c>
      <c r="B836" s="42" t="s">
        <v>34</v>
      </c>
      <c r="D836" s="42" t="s">
        <v>575</v>
      </c>
      <c r="E836" s="42" t="s">
        <v>74</v>
      </c>
      <c r="F836" s="44" t="s">
        <v>586</v>
      </c>
      <c r="H836" s="44" t="s">
        <v>39</v>
      </c>
      <c r="J836" s="49">
        <v>1</v>
      </c>
      <c r="K836" s="45">
        <v>6.02</v>
      </c>
    </row>
    <row r="837" spans="1:12" ht="16.5" customHeight="1" x14ac:dyDescent="0.3">
      <c r="A837" s="48">
        <v>46036</v>
      </c>
      <c r="B837" s="42" t="s">
        <v>34</v>
      </c>
      <c r="D837" s="42" t="s">
        <v>575</v>
      </c>
      <c r="E837" s="42" t="s">
        <v>74</v>
      </c>
      <c r="F837" s="44" t="s">
        <v>587</v>
      </c>
      <c r="H837" s="44" t="s">
        <v>39</v>
      </c>
      <c r="J837" s="49">
        <v>1</v>
      </c>
      <c r="K837" s="45">
        <v>11.19</v>
      </c>
    </row>
    <row r="838" spans="1:12" ht="16.5" customHeight="1" x14ac:dyDescent="0.3">
      <c r="A838" s="48">
        <v>46036</v>
      </c>
      <c r="B838" s="42" t="s">
        <v>34</v>
      </c>
      <c r="D838" s="42" t="s">
        <v>575</v>
      </c>
      <c r="E838" s="42" t="s">
        <v>74</v>
      </c>
      <c r="F838" s="44" t="s">
        <v>588</v>
      </c>
      <c r="H838" s="44" t="s">
        <v>39</v>
      </c>
      <c r="J838" s="49">
        <v>1</v>
      </c>
      <c r="K838" s="45">
        <v>1.17</v>
      </c>
    </row>
    <row r="839" spans="1:12" ht="16.5" customHeight="1" x14ac:dyDescent="0.3">
      <c r="A839" s="48">
        <v>46036</v>
      </c>
      <c r="B839" s="42" t="s">
        <v>34</v>
      </c>
      <c r="D839" s="42" t="s">
        <v>575</v>
      </c>
      <c r="E839" s="42" t="s">
        <v>74</v>
      </c>
      <c r="F839" s="44" t="s">
        <v>589</v>
      </c>
      <c r="H839" s="44" t="s">
        <v>39</v>
      </c>
      <c r="J839" s="49">
        <v>1</v>
      </c>
      <c r="K839" s="45">
        <v>2.39</v>
      </c>
    </row>
    <row r="840" spans="1:12" ht="16.5" customHeight="1" x14ac:dyDescent="0.3">
      <c r="A840" s="48">
        <v>46036</v>
      </c>
      <c r="B840" s="42" t="s">
        <v>34</v>
      </c>
      <c r="D840" s="42" t="s">
        <v>575</v>
      </c>
      <c r="E840" s="42" t="s">
        <v>74</v>
      </c>
      <c r="F840" s="44" t="s">
        <v>590</v>
      </c>
      <c r="H840" s="44" t="s">
        <v>39</v>
      </c>
      <c r="J840" s="49">
        <v>1</v>
      </c>
      <c r="K840" s="45">
        <v>1.1200000000000001</v>
      </c>
    </row>
    <row r="841" spans="1:12" ht="16.5" customHeight="1" x14ac:dyDescent="0.3">
      <c r="A841" s="48">
        <v>46036</v>
      </c>
      <c r="B841" s="42" t="s">
        <v>34</v>
      </c>
      <c r="D841" s="42" t="s">
        <v>575</v>
      </c>
      <c r="E841" s="42" t="s">
        <v>74</v>
      </c>
      <c r="F841" s="44" t="s">
        <v>591</v>
      </c>
      <c r="H841" s="44" t="s">
        <v>39</v>
      </c>
      <c r="J841" s="49">
        <v>1</v>
      </c>
      <c r="K841" s="45">
        <v>8.15</v>
      </c>
    </row>
    <row r="842" spans="1:12" ht="16.5" customHeight="1" x14ac:dyDescent="0.3">
      <c r="A842" s="48">
        <v>46036</v>
      </c>
      <c r="B842" s="42" t="s">
        <v>34</v>
      </c>
      <c r="D842" s="42" t="s">
        <v>575</v>
      </c>
      <c r="E842" s="42" t="s">
        <v>74</v>
      </c>
      <c r="F842" s="44" t="s">
        <v>592</v>
      </c>
      <c r="H842" s="44" t="s">
        <v>39</v>
      </c>
      <c r="J842" s="49">
        <v>1</v>
      </c>
      <c r="K842" s="45">
        <v>11.84</v>
      </c>
    </row>
    <row r="843" spans="1:12" ht="16.5" customHeight="1" x14ac:dyDescent="0.3">
      <c r="A843" s="48">
        <v>46036</v>
      </c>
      <c r="B843" s="42" t="s">
        <v>34</v>
      </c>
      <c r="D843" s="42" t="s">
        <v>575</v>
      </c>
      <c r="E843" s="42" t="s">
        <v>74</v>
      </c>
      <c r="F843" s="44" t="s">
        <v>593</v>
      </c>
      <c r="H843" s="44" t="s">
        <v>39</v>
      </c>
      <c r="J843" s="49">
        <v>1</v>
      </c>
      <c r="K843" s="45">
        <v>11.84</v>
      </c>
    </row>
    <row r="844" spans="1:12" ht="16.5" customHeight="1" x14ac:dyDescent="0.3">
      <c r="A844" s="48">
        <v>46036</v>
      </c>
      <c r="B844" s="42" t="s">
        <v>34</v>
      </c>
      <c r="D844" s="42" t="s">
        <v>575</v>
      </c>
      <c r="E844" s="42" t="s">
        <v>74</v>
      </c>
      <c r="F844" s="44" t="s">
        <v>594</v>
      </c>
      <c r="H844" s="44" t="s">
        <v>39</v>
      </c>
      <c r="J844" s="49">
        <v>1</v>
      </c>
      <c r="K844" s="45">
        <v>18.13</v>
      </c>
    </row>
    <row r="845" spans="1:12" ht="16.5" customHeight="1" x14ac:dyDescent="0.3">
      <c r="A845" s="48">
        <v>46036</v>
      </c>
      <c r="B845" s="42" t="s">
        <v>34</v>
      </c>
      <c r="D845" s="42" t="s">
        <v>575</v>
      </c>
      <c r="E845" s="42" t="s">
        <v>74</v>
      </c>
      <c r="F845" s="44" t="s">
        <v>595</v>
      </c>
      <c r="H845" s="44" t="s">
        <v>39</v>
      </c>
      <c r="J845" s="49">
        <v>1</v>
      </c>
      <c r="K845" s="45">
        <v>19.25</v>
      </c>
    </row>
    <row r="846" spans="1:12" ht="16.5" customHeight="1" x14ac:dyDescent="0.3">
      <c r="A846" s="48">
        <v>46036</v>
      </c>
      <c r="B846" s="42" t="s">
        <v>34</v>
      </c>
      <c r="D846" s="42" t="s">
        <v>575</v>
      </c>
      <c r="E846" s="42" t="s">
        <v>74</v>
      </c>
      <c r="F846" s="44" t="s">
        <v>596</v>
      </c>
      <c r="H846" s="44" t="s">
        <v>39</v>
      </c>
      <c r="J846" s="49">
        <v>1</v>
      </c>
      <c r="K846" s="45">
        <v>17.05</v>
      </c>
    </row>
    <row r="847" spans="1:12" ht="16.5" customHeight="1" x14ac:dyDescent="0.3">
      <c r="A847" s="48">
        <v>46036</v>
      </c>
      <c r="B847" s="42" t="s">
        <v>34</v>
      </c>
      <c r="D847" s="42" t="s">
        <v>575</v>
      </c>
      <c r="E847" s="42" t="s">
        <v>74</v>
      </c>
      <c r="F847" s="44" t="s">
        <v>597</v>
      </c>
      <c r="H847" s="44" t="s">
        <v>39</v>
      </c>
      <c r="J847" s="49">
        <v>1</v>
      </c>
      <c r="K847" s="45">
        <v>3.22</v>
      </c>
    </row>
    <row r="848" spans="1:12" ht="16.5" customHeight="1" x14ac:dyDescent="0.3">
      <c r="A848" s="48">
        <v>46036</v>
      </c>
      <c r="B848" s="42" t="s">
        <v>34</v>
      </c>
      <c r="D848" s="42" t="s">
        <v>575</v>
      </c>
      <c r="E848" s="42" t="s">
        <v>74</v>
      </c>
      <c r="F848" s="44" t="s">
        <v>598</v>
      </c>
      <c r="H848" s="44" t="s">
        <v>39</v>
      </c>
      <c r="J848" s="49">
        <v>1</v>
      </c>
      <c r="K848" s="45">
        <v>21.28</v>
      </c>
    </row>
    <row r="849" spans="1:12" ht="16.5" customHeight="1" x14ac:dyDescent="0.3">
      <c r="A849" s="48">
        <v>46036</v>
      </c>
      <c r="B849" s="42" t="s">
        <v>34</v>
      </c>
      <c r="D849" s="42" t="s">
        <v>575</v>
      </c>
      <c r="E849" s="42" t="s">
        <v>74</v>
      </c>
      <c r="F849" s="44" t="s">
        <v>599</v>
      </c>
      <c r="H849" s="44" t="s">
        <v>39</v>
      </c>
      <c r="J849" s="49">
        <v>1</v>
      </c>
      <c r="K849" s="45">
        <v>29.96</v>
      </c>
    </row>
    <row r="850" spans="1:12" ht="16.5" customHeight="1" x14ac:dyDescent="0.3">
      <c r="A850" s="48">
        <v>46036</v>
      </c>
      <c r="B850" s="42" t="s">
        <v>34</v>
      </c>
      <c r="D850" s="42" t="s">
        <v>575</v>
      </c>
      <c r="E850" s="42" t="s">
        <v>74</v>
      </c>
      <c r="F850" s="44" t="s">
        <v>600</v>
      </c>
      <c r="H850" s="44" t="s">
        <v>39</v>
      </c>
      <c r="J850" s="49">
        <v>1</v>
      </c>
      <c r="K850" s="45">
        <v>3.22</v>
      </c>
    </row>
    <row r="851" spans="1:12" ht="16.5" customHeight="1" x14ac:dyDescent="0.3">
      <c r="A851" s="48">
        <v>46036</v>
      </c>
      <c r="B851" s="42" t="s">
        <v>34</v>
      </c>
      <c r="D851" s="42" t="s">
        <v>575</v>
      </c>
      <c r="E851" s="42" t="s">
        <v>74</v>
      </c>
      <c r="F851" s="44" t="s">
        <v>601</v>
      </c>
      <c r="H851" s="44" t="s">
        <v>39</v>
      </c>
      <c r="J851" s="49">
        <v>1</v>
      </c>
      <c r="K851" s="45">
        <v>2.93</v>
      </c>
    </row>
    <row r="852" spans="1:12" ht="16.5" customHeight="1" x14ac:dyDescent="0.3">
      <c r="A852" s="48">
        <v>46036</v>
      </c>
      <c r="B852" s="42" t="s">
        <v>34</v>
      </c>
      <c r="D852" s="42" t="s">
        <v>575</v>
      </c>
      <c r="E852" s="42" t="s">
        <v>74</v>
      </c>
      <c r="F852" s="44" t="s">
        <v>602</v>
      </c>
      <c r="H852" s="44" t="s">
        <v>39</v>
      </c>
      <c r="J852" s="49">
        <v>1</v>
      </c>
      <c r="K852" s="45">
        <v>62.85</v>
      </c>
    </row>
    <row r="853" spans="1:12" ht="16.5" customHeight="1" x14ac:dyDescent="0.3">
      <c r="A853" s="48">
        <v>46036</v>
      </c>
      <c r="B853" s="42" t="s">
        <v>34</v>
      </c>
      <c r="D853" s="42" t="s">
        <v>575</v>
      </c>
      <c r="E853" s="42" t="s">
        <v>74</v>
      </c>
      <c r="F853" s="44" t="s">
        <v>603</v>
      </c>
      <c r="H853" s="44" t="s">
        <v>39</v>
      </c>
      <c r="J853" s="49">
        <v>1</v>
      </c>
      <c r="K853" s="45">
        <v>8.9</v>
      </c>
    </row>
    <row r="854" spans="1:12" ht="16.5" customHeight="1" x14ac:dyDescent="0.3">
      <c r="A854" s="48">
        <v>46036</v>
      </c>
      <c r="B854" s="42" t="s">
        <v>34</v>
      </c>
      <c r="D854" s="42" t="s">
        <v>575</v>
      </c>
      <c r="E854" s="42" t="s">
        <v>74</v>
      </c>
      <c r="F854" s="44" t="s">
        <v>604</v>
      </c>
      <c r="H854" s="44" t="s">
        <v>39</v>
      </c>
      <c r="J854" s="49">
        <v>1</v>
      </c>
      <c r="K854" s="45">
        <v>6.21</v>
      </c>
    </row>
    <row r="855" spans="1:12" ht="16.5" customHeight="1" x14ac:dyDescent="0.3">
      <c r="A855" s="48">
        <v>46036</v>
      </c>
      <c r="B855" s="42" t="s">
        <v>34</v>
      </c>
      <c r="D855" s="42" t="s">
        <v>575</v>
      </c>
      <c r="E855" s="42" t="s">
        <v>74</v>
      </c>
      <c r="F855" s="44" t="s">
        <v>605</v>
      </c>
      <c r="H855" s="44" t="s">
        <v>39</v>
      </c>
      <c r="J855" s="49">
        <v>1</v>
      </c>
      <c r="K855" s="45">
        <v>6.21</v>
      </c>
    </row>
    <row r="856" spans="1:12" ht="16.5" customHeight="1" x14ac:dyDescent="0.3">
      <c r="A856" s="48">
        <v>46036</v>
      </c>
      <c r="B856" s="42" t="s">
        <v>34</v>
      </c>
      <c r="D856" s="42" t="s">
        <v>575</v>
      </c>
      <c r="E856" s="42" t="s">
        <v>74</v>
      </c>
      <c r="F856" s="44" t="s">
        <v>606</v>
      </c>
      <c r="H856" s="44" t="s">
        <v>39</v>
      </c>
      <c r="J856" s="49">
        <v>1</v>
      </c>
      <c r="K856" s="45">
        <v>6.21</v>
      </c>
    </row>
    <row r="857" spans="1:12" ht="16.5" customHeight="1" x14ac:dyDescent="0.3">
      <c r="A857" s="48">
        <v>46036</v>
      </c>
      <c r="B857" s="42" t="s">
        <v>34</v>
      </c>
      <c r="D857" s="42" t="s">
        <v>575</v>
      </c>
      <c r="E857" s="42" t="s">
        <v>74</v>
      </c>
      <c r="F857" s="44" t="s">
        <v>607</v>
      </c>
      <c r="H857" s="44" t="s">
        <v>39</v>
      </c>
      <c r="J857" s="49">
        <v>1</v>
      </c>
      <c r="K857" s="45">
        <v>5.69</v>
      </c>
    </row>
    <row r="858" spans="1:12" ht="16.5" customHeight="1" x14ac:dyDescent="0.3">
      <c r="A858" s="48">
        <v>46036</v>
      </c>
      <c r="B858" s="42" t="s">
        <v>34</v>
      </c>
      <c r="D858" s="42" t="s">
        <v>575</v>
      </c>
      <c r="E858" s="42" t="s">
        <v>74</v>
      </c>
      <c r="F858" s="44" t="s">
        <v>608</v>
      </c>
      <c r="H858" s="44" t="s">
        <v>39</v>
      </c>
      <c r="J858" s="49">
        <v>1</v>
      </c>
      <c r="K858" s="45">
        <v>1.02</v>
      </c>
    </row>
    <row r="859" spans="1:12" ht="16.5" customHeight="1" x14ac:dyDescent="0.3">
      <c r="A859" s="48">
        <v>46036</v>
      </c>
      <c r="B859" s="42" t="s">
        <v>34</v>
      </c>
      <c r="D859" s="42" t="s">
        <v>575</v>
      </c>
      <c r="E859" s="42" t="s">
        <v>74</v>
      </c>
      <c r="F859" s="44" t="s">
        <v>609</v>
      </c>
      <c r="H859" s="44" t="s">
        <v>39</v>
      </c>
      <c r="J859" s="49">
        <v>1</v>
      </c>
      <c r="K859" s="45">
        <v>0</v>
      </c>
      <c r="L859" s="45" t="s">
        <v>701</v>
      </c>
    </row>
    <row r="860" spans="1:12" ht="16.5" customHeight="1" x14ac:dyDescent="0.3">
      <c r="A860" s="48">
        <v>46036</v>
      </c>
      <c r="B860" s="42" t="s">
        <v>34</v>
      </c>
      <c r="D860" s="42" t="s">
        <v>575</v>
      </c>
      <c r="E860" s="42" t="s">
        <v>74</v>
      </c>
      <c r="F860" s="44" t="s">
        <v>610</v>
      </c>
      <c r="H860" s="44" t="s">
        <v>39</v>
      </c>
      <c r="J860" s="49">
        <v>1</v>
      </c>
      <c r="K860" s="45">
        <v>0</v>
      </c>
      <c r="L860" s="45" t="s">
        <v>701</v>
      </c>
    </row>
    <row r="861" spans="1:12" ht="16.5" customHeight="1" x14ac:dyDescent="0.3">
      <c r="A861" s="48">
        <v>46036</v>
      </c>
      <c r="B861" s="42" t="s">
        <v>34</v>
      </c>
      <c r="D861" s="42" t="s">
        <v>575</v>
      </c>
      <c r="E861" s="42" t="s">
        <v>74</v>
      </c>
      <c r="F861" s="44" t="s">
        <v>611</v>
      </c>
      <c r="H861" s="44" t="s">
        <v>39</v>
      </c>
      <c r="J861" s="49">
        <v>1</v>
      </c>
      <c r="K861" s="45">
        <v>1.18</v>
      </c>
    </row>
    <row r="862" spans="1:12" ht="16.5" customHeight="1" x14ac:dyDescent="0.3">
      <c r="A862" s="48">
        <v>46036</v>
      </c>
      <c r="B862" s="42" t="s">
        <v>34</v>
      </c>
      <c r="D862" s="42" t="s">
        <v>575</v>
      </c>
      <c r="E862" s="42" t="s">
        <v>74</v>
      </c>
      <c r="F862" s="44" t="s">
        <v>612</v>
      </c>
      <c r="H862" s="44" t="s">
        <v>39</v>
      </c>
      <c r="J862" s="49">
        <v>1</v>
      </c>
      <c r="K862" s="45">
        <v>4.17</v>
      </c>
    </row>
    <row r="863" spans="1:12" ht="16.5" customHeight="1" x14ac:dyDescent="0.3">
      <c r="A863" s="48">
        <v>46036</v>
      </c>
      <c r="B863" s="42" t="s">
        <v>34</v>
      </c>
      <c r="D863" s="42" t="s">
        <v>575</v>
      </c>
      <c r="E863" s="42" t="s">
        <v>74</v>
      </c>
      <c r="F863" s="44" t="s">
        <v>613</v>
      </c>
      <c r="H863" s="44" t="s">
        <v>39</v>
      </c>
      <c r="J863" s="49">
        <v>1</v>
      </c>
      <c r="K863" s="45">
        <v>16.05</v>
      </c>
    </row>
    <row r="864" spans="1:12" ht="16.5" customHeight="1" x14ac:dyDescent="0.3">
      <c r="A864" s="48">
        <v>46036</v>
      </c>
      <c r="B864" s="42" t="s">
        <v>34</v>
      </c>
      <c r="D864" s="42" t="s">
        <v>575</v>
      </c>
      <c r="E864" s="42" t="s">
        <v>74</v>
      </c>
      <c r="F864" s="44" t="s">
        <v>614</v>
      </c>
      <c r="H864" s="44" t="s">
        <v>39</v>
      </c>
      <c r="J864" s="49">
        <v>1</v>
      </c>
      <c r="K864" s="45">
        <v>26</v>
      </c>
    </row>
    <row r="865" spans="1:12" ht="16.5" customHeight="1" x14ac:dyDescent="0.3">
      <c r="A865" s="48">
        <v>46036</v>
      </c>
      <c r="B865" s="42" t="s">
        <v>34</v>
      </c>
      <c r="D865" s="42" t="s">
        <v>575</v>
      </c>
      <c r="E865" s="42" t="s">
        <v>74</v>
      </c>
      <c r="F865" s="44" t="s">
        <v>615</v>
      </c>
      <c r="H865" s="44" t="s">
        <v>39</v>
      </c>
      <c r="J865" s="49">
        <v>1</v>
      </c>
      <c r="K865" s="45">
        <v>1.36</v>
      </c>
    </row>
    <row r="866" spans="1:12" ht="16.5" customHeight="1" x14ac:dyDescent="0.3">
      <c r="A866" s="48">
        <v>46036</v>
      </c>
      <c r="B866" s="42" t="s">
        <v>34</v>
      </c>
      <c r="D866" s="42" t="s">
        <v>575</v>
      </c>
      <c r="E866" s="42" t="s">
        <v>74</v>
      </c>
      <c r="F866" s="44" t="s">
        <v>616</v>
      </c>
      <c r="H866" s="44" t="s">
        <v>39</v>
      </c>
      <c r="J866" s="49">
        <v>1</v>
      </c>
      <c r="K866" s="45">
        <v>12.79</v>
      </c>
    </row>
    <row r="867" spans="1:12" ht="16.5" customHeight="1" x14ac:dyDescent="0.3">
      <c r="A867" s="48">
        <v>46036</v>
      </c>
      <c r="B867" s="42" t="s">
        <v>34</v>
      </c>
      <c r="D867" s="42" t="s">
        <v>575</v>
      </c>
      <c r="E867" s="42" t="s">
        <v>74</v>
      </c>
      <c r="F867" s="44" t="s">
        <v>617</v>
      </c>
      <c r="H867" s="44" t="s">
        <v>39</v>
      </c>
      <c r="J867" s="49">
        <v>1</v>
      </c>
      <c r="K867" s="45">
        <v>1.99</v>
      </c>
    </row>
    <row r="868" spans="1:12" ht="16.5" customHeight="1" x14ac:dyDescent="0.3">
      <c r="A868" s="48">
        <v>46036</v>
      </c>
      <c r="B868" s="42" t="s">
        <v>34</v>
      </c>
      <c r="D868" s="42" t="s">
        <v>575</v>
      </c>
      <c r="E868" s="42" t="s">
        <v>74</v>
      </c>
      <c r="F868" s="44" t="s">
        <v>618</v>
      </c>
      <c r="H868" s="44" t="s">
        <v>39</v>
      </c>
      <c r="J868" s="49">
        <v>1</v>
      </c>
      <c r="K868" s="45">
        <v>0.53</v>
      </c>
    </row>
    <row r="869" spans="1:12" ht="16.5" customHeight="1" x14ac:dyDescent="0.3">
      <c r="A869" s="48">
        <v>46036</v>
      </c>
      <c r="B869" s="42" t="s">
        <v>34</v>
      </c>
      <c r="D869" s="42" t="s">
        <v>575</v>
      </c>
      <c r="E869" s="42" t="s">
        <v>74</v>
      </c>
      <c r="F869" s="44" t="s">
        <v>619</v>
      </c>
      <c r="H869" s="44" t="s">
        <v>39</v>
      </c>
      <c r="J869" s="49">
        <v>1</v>
      </c>
      <c r="K869" s="45">
        <v>7.04</v>
      </c>
    </row>
    <row r="870" spans="1:12" ht="16.5" customHeight="1" x14ac:dyDescent="0.3">
      <c r="A870" s="48">
        <v>46036</v>
      </c>
      <c r="B870" s="42" t="s">
        <v>34</v>
      </c>
      <c r="D870" s="42" t="s">
        <v>575</v>
      </c>
      <c r="E870" s="42" t="s">
        <v>74</v>
      </c>
      <c r="F870" s="44" t="s">
        <v>620</v>
      </c>
      <c r="H870" s="44" t="s">
        <v>39</v>
      </c>
      <c r="J870" s="49">
        <v>1</v>
      </c>
      <c r="K870" s="45">
        <v>1.99</v>
      </c>
    </row>
    <row r="871" spans="1:12" ht="16.5" customHeight="1" x14ac:dyDescent="0.3">
      <c r="A871" s="48">
        <v>46036</v>
      </c>
      <c r="B871" s="42" t="s">
        <v>34</v>
      </c>
      <c r="D871" s="42" t="s">
        <v>575</v>
      </c>
      <c r="E871" s="42" t="s">
        <v>74</v>
      </c>
      <c r="F871" s="44" t="s">
        <v>621</v>
      </c>
      <c r="H871" s="44" t="s">
        <v>39</v>
      </c>
      <c r="J871" s="49">
        <v>1</v>
      </c>
      <c r="K871" s="45">
        <v>0</v>
      </c>
      <c r="L871" s="45" t="s">
        <v>702</v>
      </c>
    </row>
    <row r="872" spans="1:12" ht="16.5" customHeight="1" x14ac:dyDescent="0.3">
      <c r="A872" s="48">
        <v>46036</v>
      </c>
      <c r="B872" s="42" t="s">
        <v>34</v>
      </c>
      <c r="D872" s="42" t="s">
        <v>575</v>
      </c>
      <c r="E872" s="42" t="s">
        <v>74</v>
      </c>
      <c r="F872" s="44" t="s">
        <v>622</v>
      </c>
      <c r="H872" s="44" t="s">
        <v>39</v>
      </c>
      <c r="J872" s="49">
        <v>1</v>
      </c>
      <c r="K872" s="45">
        <v>0</v>
      </c>
      <c r="L872" s="45" t="s">
        <v>703</v>
      </c>
    </row>
    <row r="873" spans="1:12" ht="16.5" customHeight="1" x14ac:dyDescent="0.3">
      <c r="A873" s="48">
        <v>46036</v>
      </c>
      <c r="B873" s="42" t="s">
        <v>34</v>
      </c>
      <c r="D873" s="42" t="s">
        <v>575</v>
      </c>
      <c r="E873" s="42" t="s">
        <v>74</v>
      </c>
      <c r="F873" s="44" t="s">
        <v>623</v>
      </c>
      <c r="H873" s="44" t="s">
        <v>39</v>
      </c>
      <c r="J873" s="49">
        <v>1</v>
      </c>
      <c r="K873" s="45">
        <v>8.3800000000000008</v>
      </c>
    </row>
    <row r="874" spans="1:12" ht="16.5" customHeight="1" x14ac:dyDescent="0.3">
      <c r="A874" s="48">
        <v>46036</v>
      </c>
      <c r="B874" s="42" t="s">
        <v>34</v>
      </c>
      <c r="D874" s="42" t="s">
        <v>575</v>
      </c>
      <c r="E874" s="42" t="s">
        <v>74</v>
      </c>
      <c r="F874" s="44" t="s">
        <v>624</v>
      </c>
      <c r="H874" s="44" t="s">
        <v>39</v>
      </c>
      <c r="J874" s="49">
        <v>1</v>
      </c>
      <c r="K874" s="45">
        <v>11.1</v>
      </c>
    </row>
    <row r="875" spans="1:12" ht="16.5" customHeight="1" x14ac:dyDescent="0.3">
      <c r="A875" s="48">
        <v>46036</v>
      </c>
      <c r="B875" s="42" t="s">
        <v>34</v>
      </c>
      <c r="D875" s="42" t="s">
        <v>575</v>
      </c>
      <c r="E875" s="42" t="s">
        <v>74</v>
      </c>
      <c r="F875" s="44" t="s">
        <v>625</v>
      </c>
      <c r="H875" s="44" t="s">
        <v>39</v>
      </c>
      <c r="J875" s="49">
        <v>1</v>
      </c>
      <c r="K875" s="45">
        <v>0</v>
      </c>
      <c r="L875" s="45" t="s">
        <v>704</v>
      </c>
    </row>
    <row r="876" spans="1:12" ht="16.5" customHeight="1" x14ac:dyDescent="0.3">
      <c r="A876" s="48">
        <v>46036</v>
      </c>
      <c r="B876" s="42" t="s">
        <v>34</v>
      </c>
      <c r="D876" s="42" t="s">
        <v>575</v>
      </c>
      <c r="E876" s="42" t="s">
        <v>74</v>
      </c>
      <c r="F876" s="44" t="s">
        <v>626</v>
      </c>
      <c r="H876" s="44" t="s">
        <v>39</v>
      </c>
      <c r="J876" s="49">
        <v>1</v>
      </c>
      <c r="K876" s="45">
        <v>2.2400000000000002</v>
      </c>
    </row>
    <row r="877" spans="1:12" ht="16.5" customHeight="1" x14ac:dyDescent="0.3">
      <c r="A877" s="48">
        <v>46036</v>
      </c>
      <c r="B877" s="42" t="s">
        <v>34</v>
      </c>
      <c r="D877" s="42" t="s">
        <v>575</v>
      </c>
      <c r="E877" s="42" t="s">
        <v>74</v>
      </c>
      <c r="F877" s="44" t="s">
        <v>627</v>
      </c>
      <c r="H877" s="44" t="s">
        <v>39</v>
      </c>
      <c r="J877" s="49">
        <v>1</v>
      </c>
      <c r="K877" s="45">
        <v>1.28</v>
      </c>
    </row>
    <row r="878" spans="1:12" ht="16.5" customHeight="1" x14ac:dyDescent="0.3">
      <c r="A878" s="48">
        <v>46036</v>
      </c>
      <c r="B878" s="42" t="s">
        <v>34</v>
      </c>
      <c r="D878" s="42" t="s">
        <v>575</v>
      </c>
      <c r="E878" s="42" t="s">
        <v>74</v>
      </c>
      <c r="F878" s="44" t="s">
        <v>628</v>
      </c>
      <c r="H878" s="44" t="s">
        <v>39</v>
      </c>
      <c r="J878" s="49">
        <v>1</v>
      </c>
      <c r="K878" s="45">
        <v>0</v>
      </c>
      <c r="L878" s="45" t="s">
        <v>705</v>
      </c>
    </row>
    <row r="879" spans="1:12" ht="16.5" customHeight="1" x14ac:dyDescent="0.3">
      <c r="A879" s="48">
        <v>46036</v>
      </c>
      <c r="B879" s="42" t="s">
        <v>34</v>
      </c>
      <c r="D879" s="42" t="s">
        <v>575</v>
      </c>
      <c r="E879" s="42" t="s">
        <v>74</v>
      </c>
      <c r="F879" s="44" t="s">
        <v>629</v>
      </c>
      <c r="H879" s="44" t="s">
        <v>39</v>
      </c>
      <c r="J879" s="49">
        <v>1</v>
      </c>
      <c r="K879" s="45">
        <v>1.48</v>
      </c>
    </row>
    <row r="880" spans="1:12" ht="16.5" customHeight="1" x14ac:dyDescent="0.3">
      <c r="A880" s="48">
        <v>46036</v>
      </c>
      <c r="B880" s="42" t="s">
        <v>34</v>
      </c>
      <c r="D880" s="42" t="s">
        <v>575</v>
      </c>
      <c r="E880" s="42" t="s">
        <v>74</v>
      </c>
      <c r="F880" s="44" t="s">
        <v>630</v>
      </c>
      <c r="H880" s="44" t="s">
        <v>39</v>
      </c>
      <c r="J880" s="49">
        <v>1</v>
      </c>
      <c r="K880" s="45">
        <v>152.47999999999999</v>
      </c>
    </row>
    <row r="881" spans="1:14" ht="16.5" customHeight="1" x14ac:dyDescent="0.3">
      <c r="A881" s="48">
        <v>46036</v>
      </c>
      <c r="B881" s="42" t="s">
        <v>34</v>
      </c>
      <c r="D881" s="42" t="s">
        <v>575</v>
      </c>
      <c r="E881" s="42" t="s">
        <v>74</v>
      </c>
      <c r="F881" s="44" t="s">
        <v>631</v>
      </c>
      <c r="H881" s="44" t="s">
        <v>39</v>
      </c>
      <c r="J881" s="49">
        <v>1</v>
      </c>
      <c r="K881" s="45">
        <v>0.88</v>
      </c>
    </row>
    <row r="882" spans="1:14" ht="16.5" customHeight="1" x14ac:dyDescent="0.3">
      <c r="A882" s="48">
        <v>46036</v>
      </c>
      <c r="B882" s="42" t="s">
        <v>34</v>
      </c>
      <c r="D882" s="42" t="s">
        <v>575</v>
      </c>
      <c r="E882" s="42" t="s">
        <v>74</v>
      </c>
      <c r="F882" s="44" t="s">
        <v>632</v>
      </c>
      <c r="H882" s="44" t="s">
        <v>39</v>
      </c>
      <c r="J882" s="49">
        <v>1</v>
      </c>
      <c r="K882" s="45">
        <v>0</v>
      </c>
      <c r="L882" s="45" t="s">
        <v>705</v>
      </c>
    </row>
    <row r="883" spans="1:14" ht="16.5" customHeight="1" x14ac:dyDescent="0.3">
      <c r="A883" s="48">
        <v>46036</v>
      </c>
      <c r="B883" s="42" t="s">
        <v>34</v>
      </c>
      <c r="D883" s="42" t="s">
        <v>575</v>
      </c>
      <c r="E883" s="42" t="s">
        <v>74</v>
      </c>
      <c r="F883" s="44" t="s">
        <v>633</v>
      </c>
      <c r="H883" s="44" t="s">
        <v>39</v>
      </c>
      <c r="J883" s="49">
        <v>1</v>
      </c>
      <c r="K883" s="45">
        <v>0.64</v>
      </c>
    </row>
    <row r="884" spans="1:14" ht="16.5" customHeight="1" x14ac:dyDescent="0.3">
      <c r="A884" s="48">
        <v>46036</v>
      </c>
      <c r="B884" s="42" t="s">
        <v>34</v>
      </c>
      <c r="D884" s="42" t="s">
        <v>575</v>
      </c>
      <c r="E884" s="42" t="s">
        <v>74</v>
      </c>
      <c r="F884" s="44" t="s">
        <v>634</v>
      </c>
      <c r="H884" s="44" t="s">
        <v>39</v>
      </c>
      <c r="J884" s="49">
        <v>1</v>
      </c>
      <c r="K884" s="45">
        <v>0</v>
      </c>
      <c r="L884" s="45" t="s">
        <v>705</v>
      </c>
    </row>
    <row r="885" spans="1:14" ht="16.5" customHeight="1" x14ac:dyDescent="0.3">
      <c r="A885" s="48">
        <v>46036</v>
      </c>
      <c r="B885" s="42" t="s">
        <v>34</v>
      </c>
      <c r="D885" s="42" t="s">
        <v>575</v>
      </c>
      <c r="E885" s="42" t="s">
        <v>74</v>
      </c>
      <c r="F885" s="44" t="s">
        <v>635</v>
      </c>
      <c r="H885" s="44" t="s">
        <v>39</v>
      </c>
      <c r="J885" s="49">
        <v>1</v>
      </c>
      <c r="K885" s="45">
        <v>5.33</v>
      </c>
    </row>
    <row r="886" spans="1:14" ht="16.5" customHeight="1" x14ac:dyDescent="0.3">
      <c r="A886" s="48">
        <v>46036</v>
      </c>
      <c r="B886" s="42" t="s">
        <v>34</v>
      </c>
      <c r="D886" s="42" t="s">
        <v>575</v>
      </c>
      <c r="E886" s="42" t="s">
        <v>74</v>
      </c>
      <c r="F886" s="44" t="s">
        <v>636</v>
      </c>
      <c r="H886" s="44" t="s">
        <v>39</v>
      </c>
      <c r="J886" s="49">
        <v>1</v>
      </c>
      <c r="K886" s="45">
        <v>0</v>
      </c>
      <c r="L886" s="45" t="s">
        <v>706</v>
      </c>
    </row>
    <row r="887" spans="1:14" ht="16.5" customHeight="1" x14ac:dyDescent="0.3">
      <c r="A887" s="48">
        <v>46036</v>
      </c>
      <c r="B887" s="42" t="s">
        <v>34</v>
      </c>
      <c r="D887" s="42" t="s">
        <v>575</v>
      </c>
      <c r="E887" s="42" t="s">
        <v>74</v>
      </c>
      <c r="F887" s="44" t="s">
        <v>637</v>
      </c>
      <c r="H887" s="44" t="s">
        <v>39</v>
      </c>
      <c r="J887" s="49">
        <v>1</v>
      </c>
      <c r="K887" s="45">
        <v>0.94</v>
      </c>
    </row>
    <row r="888" spans="1:14" ht="16.5" customHeight="1" x14ac:dyDescent="0.3">
      <c r="A888" s="48">
        <v>46036</v>
      </c>
      <c r="B888" s="42" t="s">
        <v>34</v>
      </c>
      <c r="D888" s="42" t="s">
        <v>575</v>
      </c>
      <c r="E888" s="42" t="s">
        <v>74</v>
      </c>
      <c r="F888" s="44" t="s">
        <v>638</v>
      </c>
      <c r="H888" s="44" t="s">
        <v>39</v>
      </c>
      <c r="J888" s="49">
        <v>1</v>
      </c>
      <c r="K888" s="45">
        <v>2.17</v>
      </c>
      <c r="M888" s="58"/>
      <c r="N888" s="58"/>
    </row>
    <row r="889" spans="1:14" ht="16.5" customHeight="1" x14ac:dyDescent="0.3">
      <c r="A889" s="48">
        <v>46036</v>
      </c>
      <c r="B889" s="42" t="s">
        <v>34</v>
      </c>
      <c r="D889" s="42" t="s">
        <v>575</v>
      </c>
      <c r="E889" s="42" t="s">
        <v>74</v>
      </c>
      <c r="F889" s="44" t="s">
        <v>639</v>
      </c>
      <c r="H889" s="44" t="s">
        <v>39</v>
      </c>
      <c r="J889" s="49">
        <v>1</v>
      </c>
      <c r="K889" s="45">
        <v>2.17</v>
      </c>
      <c r="M889" s="58"/>
      <c r="N889" s="58"/>
    </row>
    <row r="890" spans="1:14" ht="16.5" customHeight="1" x14ac:dyDescent="0.3">
      <c r="A890" s="48">
        <v>46036</v>
      </c>
      <c r="B890" s="42" t="s">
        <v>34</v>
      </c>
      <c r="D890" s="42" t="s">
        <v>575</v>
      </c>
      <c r="E890" s="42" t="s">
        <v>74</v>
      </c>
      <c r="F890" s="44" t="s">
        <v>640</v>
      </c>
      <c r="H890" s="44" t="s">
        <v>39</v>
      </c>
      <c r="J890" s="49">
        <v>1</v>
      </c>
      <c r="K890" s="45">
        <v>1.6</v>
      </c>
      <c r="M890" s="58"/>
      <c r="N890" s="58"/>
    </row>
    <row r="891" spans="1:14" ht="16.5" customHeight="1" x14ac:dyDescent="0.3">
      <c r="A891" s="48">
        <v>46036</v>
      </c>
      <c r="B891" s="42" t="s">
        <v>34</v>
      </c>
      <c r="D891" s="42" t="s">
        <v>575</v>
      </c>
      <c r="E891" s="42" t="s">
        <v>74</v>
      </c>
      <c r="F891" s="44" t="s">
        <v>641</v>
      </c>
      <c r="H891" s="44" t="s">
        <v>39</v>
      </c>
      <c r="J891" s="49">
        <v>1</v>
      </c>
      <c r="K891" s="45">
        <v>1.72</v>
      </c>
    </row>
    <row r="892" spans="1:14" ht="16.5" customHeight="1" x14ac:dyDescent="0.3">
      <c r="A892" s="48">
        <v>46036</v>
      </c>
      <c r="B892" s="42" t="s">
        <v>34</v>
      </c>
      <c r="D892" s="42" t="s">
        <v>575</v>
      </c>
      <c r="E892" s="42" t="s">
        <v>74</v>
      </c>
      <c r="F892" s="44" t="s">
        <v>642</v>
      </c>
      <c r="H892" s="44" t="s">
        <v>39</v>
      </c>
      <c r="J892" s="49">
        <v>1</v>
      </c>
      <c r="K892" s="45">
        <v>1.1100000000000001</v>
      </c>
      <c r="M892" s="58"/>
      <c r="N892" s="58"/>
    </row>
    <row r="893" spans="1:14" ht="16.5" customHeight="1" x14ac:dyDescent="0.3">
      <c r="A893" s="48">
        <v>46036</v>
      </c>
      <c r="B893" s="42" t="s">
        <v>34</v>
      </c>
      <c r="D893" s="42" t="s">
        <v>575</v>
      </c>
      <c r="E893" s="42" t="s">
        <v>74</v>
      </c>
      <c r="F893" s="44" t="s">
        <v>643</v>
      </c>
      <c r="H893" s="44" t="s">
        <v>39</v>
      </c>
      <c r="J893" s="49">
        <v>1</v>
      </c>
      <c r="K893" s="45">
        <v>0.78</v>
      </c>
      <c r="M893" s="58"/>
      <c r="N893" s="58"/>
    </row>
    <row r="894" spans="1:14" ht="16.5" customHeight="1" x14ac:dyDescent="0.3">
      <c r="A894" s="48">
        <v>46036</v>
      </c>
      <c r="B894" s="42" t="s">
        <v>34</v>
      </c>
      <c r="D894" s="42" t="s">
        <v>575</v>
      </c>
      <c r="E894" s="42" t="s">
        <v>74</v>
      </c>
      <c r="F894" s="44" t="s">
        <v>644</v>
      </c>
      <c r="H894" s="44" t="s">
        <v>39</v>
      </c>
      <c r="J894" s="49">
        <v>1</v>
      </c>
      <c r="K894" s="45">
        <v>2.39</v>
      </c>
      <c r="M894" s="58"/>
      <c r="N894" s="58"/>
    </row>
    <row r="895" spans="1:14" ht="16.5" customHeight="1" x14ac:dyDescent="0.3">
      <c r="A895" s="48">
        <v>46036</v>
      </c>
      <c r="B895" s="42" t="s">
        <v>34</v>
      </c>
      <c r="D895" s="42" t="s">
        <v>575</v>
      </c>
      <c r="E895" s="42" t="s">
        <v>74</v>
      </c>
      <c r="F895" s="44" t="s">
        <v>645</v>
      </c>
      <c r="H895" s="44" t="s">
        <v>39</v>
      </c>
      <c r="J895" s="49">
        <v>1</v>
      </c>
      <c r="K895" s="45">
        <v>0</v>
      </c>
      <c r="L895" s="45" t="s">
        <v>701</v>
      </c>
      <c r="M895" s="58"/>
      <c r="N895" s="58"/>
    </row>
    <row r="896" spans="1:14" ht="16.5" customHeight="1" x14ac:dyDescent="0.3">
      <c r="A896" s="48">
        <v>46036</v>
      </c>
      <c r="B896" s="42" t="s">
        <v>34</v>
      </c>
      <c r="D896" s="42" t="s">
        <v>575</v>
      </c>
      <c r="E896" s="42" t="s">
        <v>74</v>
      </c>
      <c r="F896" s="44" t="s">
        <v>646</v>
      </c>
      <c r="H896" s="44" t="s">
        <v>39</v>
      </c>
      <c r="J896" s="49">
        <v>1</v>
      </c>
      <c r="K896" s="45">
        <v>0</v>
      </c>
      <c r="L896" s="45" t="s">
        <v>701</v>
      </c>
      <c r="M896" s="58"/>
      <c r="N896" s="58"/>
    </row>
    <row r="897" spans="1:14" ht="16.5" customHeight="1" x14ac:dyDescent="0.3">
      <c r="A897" s="48">
        <v>46036</v>
      </c>
      <c r="B897" s="42" t="s">
        <v>34</v>
      </c>
      <c r="D897" s="42" t="s">
        <v>575</v>
      </c>
      <c r="E897" s="42" t="s">
        <v>74</v>
      </c>
      <c r="F897" s="44" t="s">
        <v>647</v>
      </c>
      <c r="H897" s="44" t="s">
        <v>39</v>
      </c>
      <c r="J897" s="49">
        <v>1</v>
      </c>
      <c r="K897" s="45">
        <v>0</v>
      </c>
      <c r="L897" s="45" t="s">
        <v>707</v>
      </c>
    </row>
    <row r="898" spans="1:14" ht="16.5" customHeight="1" x14ac:dyDescent="0.3">
      <c r="A898" s="48">
        <v>46036</v>
      </c>
      <c r="B898" s="42" t="s">
        <v>34</v>
      </c>
      <c r="D898" s="42" t="s">
        <v>575</v>
      </c>
      <c r="E898" s="42" t="s">
        <v>74</v>
      </c>
      <c r="F898" s="44" t="s">
        <v>648</v>
      </c>
      <c r="H898" s="44" t="s">
        <v>39</v>
      </c>
      <c r="J898" s="49">
        <v>1</v>
      </c>
      <c r="K898" s="45">
        <v>0</v>
      </c>
      <c r="L898" s="45" t="s">
        <v>707</v>
      </c>
    </row>
    <row r="899" spans="1:14" ht="16.5" customHeight="1" x14ac:dyDescent="0.3">
      <c r="A899" s="48">
        <v>46036</v>
      </c>
      <c r="B899" s="42" t="s">
        <v>34</v>
      </c>
      <c r="D899" s="42" t="s">
        <v>575</v>
      </c>
      <c r="E899" s="42" t="s">
        <v>74</v>
      </c>
      <c r="F899" s="44" t="s">
        <v>649</v>
      </c>
      <c r="H899" s="44" t="s">
        <v>39</v>
      </c>
      <c r="J899" s="49">
        <v>1</v>
      </c>
      <c r="K899" s="45">
        <v>0</v>
      </c>
      <c r="L899" s="45" t="s">
        <v>707</v>
      </c>
      <c r="M899" s="58"/>
      <c r="N899" s="58"/>
    </row>
    <row r="900" spans="1:14" ht="16.5" customHeight="1" x14ac:dyDescent="0.3">
      <c r="A900" s="48">
        <v>46036</v>
      </c>
      <c r="B900" s="42" t="s">
        <v>34</v>
      </c>
      <c r="D900" s="42" t="s">
        <v>575</v>
      </c>
      <c r="E900" s="42" t="s">
        <v>74</v>
      </c>
      <c r="F900" s="44" t="s">
        <v>650</v>
      </c>
      <c r="H900" s="44" t="s">
        <v>39</v>
      </c>
      <c r="J900" s="49">
        <v>1</v>
      </c>
      <c r="K900" s="45">
        <v>0</v>
      </c>
      <c r="L900" s="45" t="s">
        <v>707</v>
      </c>
    </row>
    <row r="901" spans="1:14" ht="16.5" customHeight="1" x14ac:dyDescent="0.3">
      <c r="A901" s="48">
        <v>46036</v>
      </c>
      <c r="B901" s="42" t="s">
        <v>34</v>
      </c>
      <c r="D901" s="42" t="s">
        <v>575</v>
      </c>
      <c r="E901" s="42" t="s">
        <v>74</v>
      </c>
      <c r="F901" s="44" t="s">
        <v>651</v>
      </c>
      <c r="H901" s="44" t="s">
        <v>39</v>
      </c>
      <c r="J901" s="49">
        <v>1</v>
      </c>
      <c r="K901" s="45">
        <v>0</v>
      </c>
      <c r="L901" s="45" t="s">
        <v>707</v>
      </c>
    </row>
    <row r="902" spans="1:14" ht="16.5" customHeight="1" x14ac:dyDescent="0.3">
      <c r="A902" s="48">
        <v>46036</v>
      </c>
      <c r="B902" s="42" t="s">
        <v>34</v>
      </c>
      <c r="D902" s="42" t="s">
        <v>575</v>
      </c>
      <c r="E902" s="42" t="s">
        <v>74</v>
      </c>
      <c r="F902" s="44" t="s">
        <v>652</v>
      </c>
      <c r="H902" s="44" t="s">
        <v>39</v>
      </c>
      <c r="J902" s="49">
        <v>1</v>
      </c>
      <c r="K902" s="45">
        <v>0</v>
      </c>
      <c r="L902" s="45" t="s">
        <v>701</v>
      </c>
    </row>
    <row r="903" spans="1:14" ht="16.5" customHeight="1" x14ac:dyDescent="0.3">
      <c r="A903" s="48">
        <v>46036</v>
      </c>
      <c r="B903" s="42" t="s">
        <v>34</v>
      </c>
      <c r="D903" s="42" t="s">
        <v>575</v>
      </c>
      <c r="E903" s="42" t="s">
        <v>74</v>
      </c>
      <c r="F903" s="44" t="s">
        <v>653</v>
      </c>
      <c r="H903" s="44" t="s">
        <v>39</v>
      </c>
      <c r="J903" s="49">
        <v>1</v>
      </c>
      <c r="K903" s="45">
        <v>0</v>
      </c>
      <c r="L903" s="45" t="s">
        <v>701</v>
      </c>
    </row>
    <row r="904" spans="1:14" ht="16.5" customHeight="1" x14ac:dyDescent="0.3">
      <c r="A904" s="48">
        <v>46036</v>
      </c>
      <c r="B904" s="42" t="s">
        <v>34</v>
      </c>
      <c r="D904" s="42" t="s">
        <v>575</v>
      </c>
      <c r="E904" s="42" t="s">
        <v>74</v>
      </c>
      <c r="F904" s="44" t="s">
        <v>654</v>
      </c>
      <c r="H904" s="44" t="s">
        <v>39</v>
      </c>
      <c r="J904" s="49">
        <v>1</v>
      </c>
      <c r="K904" s="45">
        <v>21.67</v>
      </c>
    </row>
    <row r="905" spans="1:14" ht="16.5" customHeight="1" x14ac:dyDescent="0.3">
      <c r="A905" s="48">
        <v>46036</v>
      </c>
      <c r="B905" s="42" t="s">
        <v>34</v>
      </c>
      <c r="D905" s="42" t="s">
        <v>575</v>
      </c>
      <c r="E905" s="42" t="s">
        <v>74</v>
      </c>
      <c r="F905" s="44" t="s">
        <v>655</v>
      </c>
      <c r="H905" s="44" t="s">
        <v>39</v>
      </c>
      <c r="J905" s="49">
        <v>1</v>
      </c>
      <c r="K905" s="45">
        <v>8.32</v>
      </c>
    </row>
    <row r="906" spans="1:14" ht="16.5" customHeight="1" x14ac:dyDescent="0.3">
      <c r="A906" s="48">
        <v>46036</v>
      </c>
      <c r="B906" s="42" t="s">
        <v>34</v>
      </c>
      <c r="D906" s="42" t="s">
        <v>575</v>
      </c>
      <c r="E906" s="42" t="s">
        <v>74</v>
      </c>
      <c r="F906" s="44" t="s">
        <v>656</v>
      </c>
      <c r="H906" s="44" t="s">
        <v>195</v>
      </c>
      <c r="J906" s="49">
        <v>1</v>
      </c>
      <c r="K906" s="45">
        <v>0.53</v>
      </c>
    </row>
    <row r="907" spans="1:14" ht="16.5" customHeight="1" x14ac:dyDescent="0.3">
      <c r="A907" s="48">
        <v>46036</v>
      </c>
      <c r="B907" s="42" t="s">
        <v>34</v>
      </c>
      <c r="D907" s="42" t="s">
        <v>575</v>
      </c>
      <c r="E907" s="42" t="s">
        <v>74</v>
      </c>
      <c r="F907" s="44" t="s">
        <v>657</v>
      </c>
      <c r="H907" s="44" t="s">
        <v>39</v>
      </c>
      <c r="J907" s="49">
        <v>1</v>
      </c>
      <c r="K907" s="45">
        <v>0.41</v>
      </c>
    </row>
    <row r="908" spans="1:14" ht="16.5" customHeight="1" x14ac:dyDescent="0.3">
      <c r="A908" s="48">
        <v>46036</v>
      </c>
      <c r="B908" s="42" t="s">
        <v>34</v>
      </c>
      <c r="D908" s="42" t="s">
        <v>575</v>
      </c>
      <c r="E908" s="42" t="s">
        <v>74</v>
      </c>
      <c r="F908" s="44" t="s">
        <v>658</v>
      </c>
      <c r="H908" s="44" t="s">
        <v>195</v>
      </c>
      <c r="J908" s="49">
        <v>1</v>
      </c>
      <c r="K908" s="45">
        <v>1.49</v>
      </c>
    </row>
    <row r="909" spans="1:14" ht="16.5" customHeight="1" x14ac:dyDescent="0.3">
      <c r="A909" s="48">
        <v>46036</v>
      </c>
      <c r="B909" s="42" t="s">
        <v>34</v>
      </c>
      <c r="D909" s="42" t="s">
        <v>575</v>
      </c>
      <c r="E909" s="42" t="s">
        <v>74</v>
      </c>
      <c r="F909" s="44" t="s">
        <v>659</v>
      </c>
      <c r="H909" s="44" t="s">
        <v>195</v>
      </c>
      <c r="J909" s="49">
        <v>1</v>
      </c>
      <c r="K909" s="45">
        <v>0.51</v>
      </c>
    </row>
    <row r="910" spans="1:14" ht="16.5" customHeight="1" x14ac:dyDescent="0.3">
      <c r="A910" s="48">
        <v>46036</v>
      </c>
      <c r="B910" s="42" t="s">
        <v>34</v>
      </c>
      <c r="D910" s="42" t="s">
        <v>575</v>
      </c>
      <c r="E910" s="42" t="s">
        <v>74</v>
      </c>
      <c r="F910" s="44" t="s">
        <v>660</v>
      </c>
      <c r="H910" s="44" t="s">
        <v>195</v>
      </c>
      <c r="J910" s="49">
        <v>1</v>
      </c>
      <c r="K910" s="45">
        <v>1.98</v>
      </c>
    </row>
    <row r="911" spans="1:14" ht="16.5" customHeight="1" x14ac:dyDescent="0.3">
      <c r="A911" s="48">
        <v>46036</v>
      </c>
      <c r="B911" s="42" t="s">
        <v>34</v>
      </c>
      <c r="D911" s="42" t="s">
        <v>575</v>
      </c>
      <c r="E911" s="42" t="s">
        <v>74</v>
      </c>
      <c r="F911" s="44" t="s">
        <v>661</v>
      </c>
      <c r="H911" s="44" t="s">
        <v>195</v>
      </c>
      <c r="J911" s="49">
        <v>1</v>
      </c>
      <c r="K911" s="45">
        <v>1.98</v>
      </c>
    </row>
    <row r="912" spans="1:14" ht="16.5" customHeight="1" x14ac:dyDescent="0.3">
      <c r="A912" s="48">
        <v>46036</v>
      </c>
      <c r="B912" s="42" t="s">
        <v>34</v>
      </c>
      <c r="D912" s="42" t="s">
        <v>575</v>
      </c>
      <c r="E912" s="42" t="s">
        <v>74</v>
      </c>
      <c r="F912" s="44" t="s">
        <v>662</v>
      </c>
      <c r="H912" s="44" t="s">
        <v>195</v>
      </c>
      <c r="J912" s="49">
        <v>1</v>
      </c>
      <c r="K912" s="45">
        <v>1.01</v>
      </c>
    </row>
    <row r="913" spans="1:12" ht="16.5" customHeight="1" x14ac:dyDescent="0.3">
      <c r="A913" s="48">
        <v>46036</v>
      </c>
      <c r="B913" s="42" t="s">
        <v>34</v>
      </c>
      <c r="D913" s="42" t="s">
        <v>575</v>
      </c>
      <c r="E913" s="42" t="s">
        <v>74</v>
      </c>
      <c r="F913" s="44" t="s">
        <v>663</v>
      </c>
      <c r="H913" s="44" t="s">
        <v>195</v>
      </c>
      <c r="J913" s="49">
        <v>1</v>
      </c>
      <c r="K913" s="45">
        <v>0.53</v>
      </c>
    </row>
    <row r="914" spans="1:12" ht="16.5" customHeight="1" x14ac:dyDescent="0.3">
      <c r="A914" s="48">
        <v>46036</v>
      </c>
      <c r="B914" s="42" t="s">
        <v>34</v>
      </c>
      <c r="D914" s="42" t="s">
        <v>575</v>
      </c>
      <c r="E914" s="42" t="s">
        <v>74</v>
      </c>
      <c r="F914" s="44" t="s">
        <v>664</v>
      </c>
      <c r="H914" s="44" t="s">
        <v>39</v>
      </c>
      <c r="J914" s="49">
        <v>1</v>
      </c>
      <c r="K914" s="45">
        <v>50.65</v>
      </c>
    </row>
    <row r="915" spans="1:12" ht="16.5" customHeight="1" x14ac:dyDescent="0.3">
      <c r="A915" s="48">
        <v>46036</v>
      </c>
      <c r="B915" s="42" t="s">
        <v>34</v>
      </c>
      <c r="D915" s="42" t="s">
        <v>575</v>
      </c>
      <c r="E915" s="42" t="s">
        <v>74</v>
      </c>
      <c r="F915" s="44" t="s">
        <v>665</v>
      </c>
      <c r="H915" s="44" t="s">
        <v>39</v>
      </c>
      <c r="J915" s="49">
        <v>1</v>
      </c>
      <c r="K915" s="45">
        <v>0</v>
      </c>
      <c r="L915" s="45" t="s">
        <v>707</v>
      </c>
    </row>
    <row r="916" spans="1:12" ht="16.5" customHeight="1" x14ac:dyDescent="0.3">
      <c r="A916" s="48">
        <v>46036</v>
      </c>
      <c r="B916" s="42" t="s">
        <v>34</v>
      </c>
      <c r="D916" s="42" t="s">
        <v>575</v>
      </c>
      <c r="E916" s="42" t="s">
        <v>74</v>
      </c>
      <c r="F916" s="44" t="s">
        <v>666</v>
      </c>
      <c r="H916" s="44" t="s">
        <v>39</v>
      </c>
      <c r="J916" s="49">
        <v>1</v>
      </c>
      <c r="K916" s="45">
        <v>0</v>
      </c>
      <c r="L916" s="45" t="s">
        <v>707</v>
      </c>
    </row>
    <row r="917" spans="1:12" ht="16.5" customHeight="1" x14ac:dyDescent="0.3">
      <c r="A917" s="48">
        <v>46036</v>
      </c>
      <c r="B917" s="42" t="s">
        <v>34</v>
      </c>
      <c r="D917" s="42" t="s">
        <v>575</v>
      </c>
      <c r="E917" s="42" t="s">
        <v>74</v>
      </c>
      <c r="F917" s="44" t="s">
        <v>667</v>
      </c>
      <c r="H917" s="44" t="s">
        <v>39</v>
      </c>
      <c r="J917" s="49">
        <v>1</v>
      </c>
      <c r="K917" s="45">
        <v>0</v>
      </c>
      <c r="L917" s="45" t="s">
        <v>707</v>
      </c>
    </row>
    <row r="918" spans="1:12" ht="16.5" customHeight="1" x14ac:dyDescent="0.3">
      <c r="A918" s="48">
        <v>46036</v>
      </c>
      <c r="B918" s="42" t="s">
        <v>34</v>
      </c>
      <c r="D918" s="42" t="s">
        <v>575</v>
      </c>
      <c r="E918" s="42" t="s">
        <v>74</v>
      </c>
      <c r="F918" s="44" t="s">
        <v>668</v>
      </c>
      <c r="H918" s="44" t="s">
        <v>39</v>
      </c>
      <c r="J918" s="49">
        <v>1</v>
      </c>
      <c r="K918" s="45">
        <v>25.92</v>
      </c>
    </row>
    <row r="919" spans="1:12" ht="16.5" customHeight="1" x14ac:dyDescent="0.3">
      <c r="A919" s="48">
        <v>46036</v>
      </c>
      <c r="B919" s="42" t="s">
        <v>34</v>
      </c>
      <c r="D919" s="42" t="s">
        <v>575</v>
      </c>
      <c r="E919" s="42" t="s">
        <v>74</v>
      </c>
      <c r="F919" s="44" t="s">
        <v>669</v>
      </c>
      <c r="G919" s="55"/>
      <c r="H919" s="44" t="s">
        <v>39</v>
      </c>
      <c r="J919" s="49">
        <v>1</v>
      </c>
      <c r="K919" s="46">
        <v>0</v>
      </c>
      <c r="L919" s="46" t="s">
        <v>708</v>
      </c>
    </row>
    <row r="920" spans="1:12" ht="16.5" customHeight="1" x14ac:dyDescent="0.3">
      <c r="A920" s="48">
        <v>46036</v>
      </c>
      <c r="B920" s="42" t="s">
        <v>34</v>
      </c>
      <c r="D920" s="42" t="s">
        <v>575</v>
      </c>
      <c r="E920" s="42" t="s">
        <v>74</v>
      </c>
      <c r="F920" s="44" t="s">
        <v>670</v>
      </c>
      <c r="G920" s="55"/>
      <c r="H920" s="44" t="s">
        <v>195</v>
      </c>
      <c r="J920" s="49">
        <v>1</v>
      </c>
      <c r="K920" s="46">
        <v>0.53</v>
      </c>
      <c r="L920" s="46"/>
    </row>
    <row r="921" spans="1:12" ht="16.5" customHeight="1" x14ac:dyDescent="0.3">
      <c r="A921" s="48">
        <v>46036</v>
      </c>
      <c r="B921" s="42" t="s">
        <v>34</v>
      </c>
      <c r="D921" s="42" t="s">
        <v>575</v>
      </c>
      <c r="E921" s="42" t="s">
        <v>74</v>
      </c>
      <c r="F921" s="44" t="s">
        <v>671</v>
      </c>
      <c r="G921" s="55"/>
      <c r="H921" s="44" t="s">
        <v>39</v>
      </c>
      <c r="J921" s="49">
        <v>1</v>
      </c>
      <c r="K921" s="46">
        <v>2.46</v>
      </c>
      <c r="L921" s="46"/>
    </row>
    <row r="922" spans="1:12" ht="16.5" customHeight="1" x14ac:dyDescent="0.3">
      <c r="A922" s="48">
        <v>46036</v>
      </c>
      <c r="B922" s="42" t="s">
        <v>34</v>
      </c>
      <c r="D922" s="42" t="s">
        <v>575</v>
      </c>
      <c r="E922" s="42" t="s">
        <v>74</v>
      </c>
      <c r="F922" s="44" t="s">
        <v>672</v>
      </c>
      <c r="G922" s="55"/>
      <c r="H922" s="44" t="s">
        <v>39</v>
      </c>
      <c r="J922" s="49">
        <v>1</v>
      </c>
      <c r="K922" s="45">
        <v>5.43</v>
      </c>
    </row>
    <row r="923" spans="1:12" ht="16.5" customHeight="1" x14ac:dyDescent="0.3">
      <c r="A923" s="48">
        <v>46036</v>
      </c>
      <c r="B923" s="42" t="s">
        <v>34</v>
      </c>
      <c r="D923" s="42" t="s">
        <v>575</v>
      </c>
      <c r="E923" s="42" t="s">
        <v>74</v>
      </c>
      <c r="F923" s="44" t="s">
        <v>673</v>
      </c>
      <c r="G923" s="55"/>
      <c r="H923" s="44" t="s">
        <v>39</v>
      </c>
      <c r="J923" s="49">
        <v>1</v>
      </c>
      <c r="K923" s="45">
        <v>0</v>
      </c>
      <c r="L923" s="45" t="s">
        <v>706</v>
      </c>
    </row>
    <row r="924" spans="1:12" ht="16.5" customHeight="1" x14ac:dyDescent="0.3">
      <c r="A924" s="48">
        <v>46036</v>
      </c>
      <c r="B924" s="42" t="s">
        <v>34</v>
      </c>
      <c r="D924" s="42" t="s">
        <v>575</v>
      </c>
      <c r="E924" s="42" t="s">
        <v>74</v>
      </c>
      <c r="F924" s="44" t="s">
        <v>674</v>
      </c>
      <c r="G924" s="55"/>
      <c r="H924" s="44" t="s">
        <v>39</v>
      </c>
      <c r="J924" s="49">
        <v>1</v>
      </c>
      <c r="K924" s="45">
        <v>4.67</v>
      </c>
    </row>
    <row r="925" spans="1:12" ht="16.5" customHeight="1" x14ac:dyDescent="0.3">
      <c r="A925" s="48">
        <v>46036</v>
      </c>
      <c r="B925" s="42" t="s">
        <v>34</v>
      </c>
      <c r="D925" s="42" t="s">
        <v>575</v>
      </c>
      <c r="E925" s="42" t="s">
        <v>74</v>
      </c>
      <c r="F925" s="44" t="s">
        <v>675</v>
      </c>
      <c r="G925" s="55"/>
      <c r="H925" s="44" t="s">
        <v>39</v>
      </c>
      <c r="J925" s="49">
        <v>1</v>
      </c>
      <c r="K925" s="45">
        <v>0</v>
      </c>
      <c r="L925" s="45" t="s">
        <v>701</v>
      </c>
    </row>
    <row r="926" spans="1:12" ht="16.5" customHeight="1" x14ac:dyDescent="0.3">
      <c r="A926" s="48">
        <v>46036</v>
      </c>
      <c r="B926" s="42" t="s">
        <v>34</v>
      </c>
      <c r="D926" s="42" t="s">
        <v>575</v>
      </c>
      <c r="E926" s="42" t="s">
        <v>74</v>
      </c>
      <c r="F926" s="44" t="s">
        <v>676</v>
      </c>
      <c r="G926" s="55"/>
      <c r="H926" s="44" t="s">
        <v>39</v>
      </c>
      <c r="J926" s="49">
        <v>1</v>
      </c>
      <c r="K926" s="45">
        <v>0</v>
      </c>
      <c r="L926" s="45" t="s">
        <v>701</v>
      </c>
    </row>
    <row r="927" spans="1:12" ht="16.5" customHeight="1" x14ac:dyDescent="0.3">
      <c r="A927" s="48">
        <v>46036</v>
      </c>
      <c r="B927" s="42" t="s">
        <v>34</v>
      </c>
      <c r="D927" s="42" t="s">
        <v>575</v>
      </c>
      <c r="E927" s="42" t="s">
        <v>74</v>
      </c>
      <c r="F927" s="44" t="s">
        <v>677</v>
      </c>
      <c r="G927" s="55"/>
      <c r="H927" s="44" t="s">
        <v>39</v>
      </c>
      <c r="J927" s="49">
        <v>1</v>
      </c>
      <c r="K927" s="45">
        <v>0.75</v>
      </c>
    </row>
    <row r="928" spans="1:12" ht="16.5" customHeight="1" x14ac:dyDescent="0.3">
      <c r="A928" s="48">
        <v>46036</v>
      </c>
      <c r="B928" s="42" t="s">
        <v>34</v>
      </c>
      <c r="D928" s="42" t="s">
        <v>575</v>
      </c>
      <c r="E928" s="42" t="s">
        <v>74</v>
      </c>
      <c r="F928" s="44" t="s">
        <v>678</v>
      </c>
      <c r="G928" s="55"/>
      <c r="H928" s="44" t="s">
        <v>39</v>
      </c>
      <c r="J928" s="49">
        <v>1</v>
      </c>
      <c r="K928" s="45">
        <v>0.9</v>
      </c>
    </row>
    <row r="929" spans="1:12" ht="16.5" customHeight="1" x14ac:dyDescent="0.3">
      <c r="A929" s="48">
        <v>46036</v>
      </c>
      <c r="B929" s="42" t="s">
        <v>34</v>
      </c>
      <c r="D929" s="42" t="s">
        <v>575</v>
      </c>
      <c r="E929" s="42" t="s">
        <v>74</v>
      </c>
      <c r="F929" s="44" t="s">
        <v>679</v>
      </c>
      <c r="G929" s="55"/>
      <c r="H929" s="44" t="s">
        <v>39</v>
      </c>
      <c r="J929" s="49">
        <v>1</v>
      </c>
      <c r="K929" s="45">
        <v>0</v>
      </c>
      <c r="L929" s="45" t="s">
        <v>709</v>
      </c>
    </row>
    <row r="930" spans="1:12" ht="16.5" customHeight="1" x14ac:dyDescent="0.3">
      <c r="A930" s="48">
        <v>46036</v>
      </c>
      <c r="B930" s="42" t="s">
        <v>34</v>
      </c>
      <c r="D930" s="42" t="s">
        <v>575</v>
      </c>
      <c r="E930" s="42" t="s">
        <v>74</v>
      </c>
      <c r="F930" s="44" t="s">
        <v>680</v>
      </c>
      <c r="G930" s="55"/>
      <c r="H930" s="44" t="s">
        <v>39</v>
      </c>
      <c r="J930" s="49">
        <v>1</v>
      </c>
      <c r="K930" s="45">
        <v>0.85</v>
      </c>
    </row>
    <row r="931" spans="1:12" ht="16.5" customHeight="1" x14ac:dyDescent="0.3">
      <c r="A931" s="48">
        <v>46036</v>
      </c>
      <c r="B931" s="42" t="s">
        <v>34</v>
      </c>
      <c r="D931" s="42" t="s">
        <v>575</v>
      </c>
      <c r="E931" s="42" t="s">
        <v>74</v>
      </c>
      <c r="F931" s="44" t="s">
        <v>681</v>
      </c>
      <c r="G931" s="55"/>
      <c r="H931" s="44" t="s">
        <v>39</v>
      </c>
      <c r="J931" s="49">
        <v>1</v>
      </c>
      <c r="K931" s="45">
        <v>1.85</v>
      </c>
    </row>
    <row r="932" spans="1:12" ht="16.5" customHeight="1" x14ac:dyDescent="0.3">
      <c r="A932" s="48">
        <v>46036</v>
      </c>
      <c r="B932" s="42" t="s">
        <v>34</v>
      </c>
      <c r="D932" s="42" t="s">
        <v>575</v>
      </c>
      <c r="E932" s="42" t="s">
        <v>74</v>
      </c>
      <c r="F932" s="44" t="s">
        <v>682</v>
      </c>
      <c r="G932" s="55"/>
      <c r="H932" s="44" t="s">
        <v>39</v>
      </c>
      <c r="J932" s="49">
        <v>1</v>
      </c>
      <c r="K932" s="45">
        <v>0.85</v>
      </c>
    </row>
    <row r="933" spans="1:12" ht="16.5" customHeight="1" x14ac:dyDescent="0.3">
      <c r="A933" s="48">
        <v>46036</v>
      </c>
      <c r="B933" s="42" t="s">
        <v>34</v>
      </c>
      <c r="D933" s="42" t="s">
        <v>575</v>
      </c>
      <c r="E933" s="42" t="s">
        <v>74</v>
      </c>
      <c r="F933" s="44" t="s">
        <v>683</v>
      </c>
      <c r="G933" s="55"/>
      <c r="H933" s="44" t="s">
        <v>39</v>
      </c>
      <c r="J933" s="49">
        <v>1</v>
      </c>
      <c r="K933" s="45">
        <v>1.8</v>
      </c>
    </row>
    <row r="934" spans="1:12" ht="16.5" customHeight="1" x14ac:dyDescent="0.3">
      <c r="A934" s="48">
        <v>46036</v>
      </c>
      <c r="B934" s="42" t="s">
        <v>34</v>
      </c>
      <c r="D934" s="42" t="s">
        <v>575</v>
      </c>
      <c r="E934" s="42" t="s">
        <v>74</v>
      </c>
      <c r="F934" s="44" t="s">
        <v>684</v>
      </c>
      <c r="G934" s="55"/>
      <c r="H934" s="44" t="s">
        <v>39</v>
      </c>
      <c r="J934" s="49">
        <v>1</v>
      </c>
      <c r="K934" s="45">
        <v>0</v>
      </c>
      <c r="L934" s="45" t="s">
        <v>710</v>
      </c>
    </row>
    <row r="935" spans="1:12" ht="16.5" customHeight="1" x14ac:dyDescent="0.3">
      <c r="A935" s="48">
        <v>46036</v>
      </c>
      <c r="B935" s="42" t="s">
        <v>34</v>
      </c>
      <c r="D935" s="42" t="s">
        <v>575</v>
      </c>
      <c r="E935" s="42" t="s">
        <v>74</v>
      </c>
      <c r="F935" s="44" t="s">
        <v>685</v>
      </c>
      <c r="G935" s="55"/>
      <c r="H935" s="44" t="s">
        <v>39</v>
      </c>
      <c r="J935" s="49">
        <v>1</v>
      </c>
      <c r="K935" s="45">
        <v>33.380000000000003</v>
      </c>
    </row>
    <row r="936" spans="1:12" ht="16.5" customHeight="1" x14ac:dyDescent="0.3">
      <c r="A936" s="48">
        <v>46036</v>
      </c>
      <c r="B936" s="42" t="s">
        <v>34</v>
      </c>
      <c r="D936" s="42" t="s">
        <v>575</v>
      </c>
      <c r="E936" s="42" t="s">
        <v>74</v>
      </c>
      <c r="F936" s="44" t="s">
        <v>686</v>
      </c>
      <c r="G936" s="55"/>
      <c r="H936" s="44" t="s">
        <v>39</v>
      </c>
      <c r="J936" s="49">
        <v>1</v>
      </c>
      <c r="K936" s="45">
        <v>0</v>
      </c>
      <c r="L936" s="45" t="s">
        <v>710</v>
      </c>
    </row>
    <row r="937" spans="1:12" ht="16.5" customHeight="1" x14ac:dyDescent="0.3">
      <c r="A937" s="48">
        <v>46036</v>
      </c>
      <c r="B937" s="42" t="s">
        <v>34</v>
      </c>
      <c r="D937" s="42" t="s">
        <v>575</v>
      </c>
      <c r="E937" s="42" t="s">
        <v>74</v>
      </c>
      <c r="F937" s="44" t="s">
        <v>687</v>
      </c>
      <c r="G937" s="55"/>
      <c r="H937" s="44" t="s">
        <v>39</v>
      </c>
      <c r="J937" s="49">
        <v>1</v>
      </c>
      <c r="K937" s="45">
        <v>0</v>
      </c>
      <c r="L937" s="45" t="s">
        <v>710</v>
      </c>
    </row>
    <row r="938" spans="1:12" ht="16.5" customHeight="1" x14ac:dyDescent="0.3">
      <c r="A938" s="48">
        <v>46036</v>
      </c>
      <c r="B938" s="42" t="s">
        <v>34</v>
      </c>
      <c r="D938" s="42" t="s">
        <v>575</v>
      </c>
      <c r="E938" s="42" t="s">
        <v>74</v>
      </c>
      <c r="F938" s="44" t="s">
        <v>688</v>
      </c>
      <c r="G938" s="55"/>
      <c r="H938" s="44" t="s">
        <v>39</v>
      </c>
      <c r="J938" s="49">
        <v>1</v>
      </c>
      <c r="K938" s="45">
        <v>0</v>
      </c>
      <c r="L938" s="45" t="s">
        <v>710</v>
      </c>
    </row>
    <row r="939" spans="1:12" ht="16.5" customHeight="1" x14ac:dyDescent="0.3">
      <c r="A939" s="48">
        <v>46036</v>
      </c>
      <c r="B939" s="42" t="s">
        <v>34</v>
      </c>
      <c r="D939" s="42" t="s">
        <v>575</v>
      </c>
      <c r="E939" s="42" t="s">
        <v>74</v>
      </c>
      <c r="F939" s="44" t="s">
        <v>689</v>
      </c>
      <c r="G939" s="55"/>
      <c r="H939" s="44" t="s">
        <v>39</v>
      </c>
      <c r="J939" s="49">
        <v>1</v>
      </c>
      <c r="K939" s="45">
        <v>2.2000000000000002</v>
      </c>
    </row>
    <row r="940" spans="1:12" ht="16.5" customHeight="1" x14ac:dyDescent="0.3">
      <c r="A940" s="48">
        <v>46036</v>
      </c>
      <c r="B940" s="42" t="s">
        <v>34</v>
      </c>
      <c r="D940" s="42" t="s">
        <v>575</v>
      </c>
      <c r="E940" s="42" t="s">
        <v>74</v>
      </c>
      <c r="F940" s="44" t="s">
        <v>690</v>
      </c>
      <c r="G940" s="55"/>
      <c r="H940" s="44" t="s">
        <v>39</v>
      </c>
      <c r="J940" s="49">
        <v>1</v>
      </c>
      <c r="K940" s="45">
        <v>1.6</v>
      </c>
    </row>
    <row r="941" spans="1:12" ht="16.5" customHeight="1" x14ac:dyDescent="0.3">
      <c r="A941" s="48">
        <v>46036</v>
      </c>
      <c r="B941" s="42" t="s">
        <v>34</v>
      </c>
      <c r="D941" s="42" t="s">
        <v>575</v>
      </c>
      <c r="E941" s="42" t="s">
        <v>74</v>
      </c>
      <c r="F941" s="44" t="s">
        <v>691</v>
      </c>
      <c r="G941" s="55"/>
      <c r="H941" s="44" t="s">
        <v>39</v>
      </c>
      <c r="J941" s="49">
        <v>1</v>
      </c>
      <c r="K941" s="45">
        <v>0.77</v>
      </c>
    </row>
    <row r="942" spans="1:12" ht="16.5" customHeight="1" x14ac:dyDescent="0.3">
      <c r="A942" s="48">
        <v>46036</v>
      </c>
      <c r="B942" s="42" t="s">
        <v>34</v>
      </c>
      <c r="D942" s="42" t="s">
        <v>575</v>
      </c>
      <c r="E942" s="42" t="s">
        <v>74</v>
      </c>
      <c r="F942" s="44" t="s">
        <v>692</v>
      </c>
      <c r="G942" s="55"/>
      <c r="H942" s="44" t="s">
        <v>39</v>
      </c>
      <c r="J942" s="49">
        <v>1</v>
      </c>
      <c r="K942" s="45">
        <v>0</v>
      </c>
      <c r="L942" s="45" t="s">
        <v>701</v>
      </c>
    </row>
    <row r="943" spans="1:12" ht="16.5" customHeight="1" x14ac:dyDescent="0.3">
      <c r="A943" s="48">
        <v>46036</v>
      </c>
      <c r="B943" s="42" t="s">
        <v>34</v>
      </c>
      <c r="D943" s="42" t="s">
        <v>575</v>
      </c>
      <c r="E943" s="42" t="s">
        <v>74</v>
      </c>
      <c r="F943" s="44" t="s">
        <v>693</v>
      </c>
      <c r="G943" s="55"/>
      <c r="H943" s="44" t="s">
        <v>39</v>
      </c>
      <c r="J943" s="49">
        <v>1</v>
      </c>
      <c r="K943" s="45">
        <v>6.35</v>
      </c>
    </row>
    <row r="944" spans="1:12" ht="16.5" customHeight="1" x14ac:dyDescent="0.3">
      <c r="A944" s="48">
        <v>46036</v>
      </c>
      <c r="B944" s="42" t="s">
        <v>34</v>
      </c>
      <c r="D944" s="42" t="s">
        <v>575</v>
      </c>
      <c r="E944" s="42" t="s">
        <v>74</v>
      </c>
      <c r="F944" s="44" t="s">
        <v>694</v>
      </c>
      <c r="G944" s="55"/>
      <c r="H944" s="44" t="s">
        <v>39</v>
      </c>
      <c r="J944" s="49">
        <v>1</v>
      </c>
      <c r="K944" s="45">
        <v>1.01</v>
      </c>
    </row>
    <row r="945" spans="1:12" ht="16.5" customHeight="1" x14ac:dyDescent="0.3">
      <c r="A945" s="48">
        <v>46036</v>
      </c>
      <c r="B945" s="42" t="s">
        <v>34</v>
      </c>
      <c r="D945" s="42" t="s">
        <v>575</v>
      </c>
      <c r="E945" s="42" t="s">
        <v>74</v>
      </c>
      <c r="F945" s="44" t="s">
        <v>695</v>
      </c>
      <c r="G945" s="55"/>
      <c r="H945" s="44" t="s">
        <v>39</v>
      </c>
      <c r="J945" s="49">
        <v>1</v>
      </c>
      <c r="K945" s="45">
        <v>0.77</v>
      </c>
    </row>
    <row r="946" spans="1:12" ht="16.5" customHeight="1" x14ac:dyDescent="0.3">
      <c r="A946" s="48">
        <v>46036</v>
      </c>
      <c r="B946" s="42" t="s">
        <v>34</v>
      </c>
      <c r="D946" s="42" t="s">
        <v>575</v>
      </c>
      <c r="E946" s="42" t="s">
        <v>74</v>
      </c>
      <c r="F946" s="44" t="s">
        <v>696</v>
      </c>
      <c r="G946" s="55"/>
      <c r="H946" s="44" t="s">
        <v>39</v>
      </c>
      <c r="J946" s="49">
        <v>1</v>
      </c>
      <c r="K946" s="45">
        <v>0.52</v>
      </c>
    </row>
    <row r="947" spans="1:12" ht="16.5" customHeight="1" x14ac:dyDescent="0.3">
      <c r="A947" s="48">
        <v>46036</v>
      </c>
      <c r="B947" s="42" t="s">
        <v>34</v>
      </c>
      <c r="D947" s="42" t="s">
        <v>575</v>
      </c>
      <c r="E947" s="42" t="s">
        <v>74</v>
      </c>
      <c r="F947" s="44" t="s">
        <v>697</v>
      </c>
      <c r="G947" s="55"/>
      <c r="H947" s="44" t="s">
        <v>39</v>
      </c>
      <c r="J947" s="49">
        <v>1</v>
      </c>
      <c r="K947" s="45">
        <v>0.78</v>
      </c>
    </row>
    <row r="948" spans="1:12" ht="16.5" customHeight="1" x14ac:dyDescent="0.3">
      <c r="A948" s="48">
        <v>46036</v>
      </c>
      <c r="B948" s="42" t="s">
        <v>34</v>
      </c>
      <c r="D948" s="42" t="s">
        <v>575</v>
      </c>
      <c r="E948" s="42" t="s">
        <v>74</v>
      </c>
      <c r="F948" s="44" t="s">
        <v>698</v>
      </c>
      <c r="G948" s="55"/>
      <c r="H948" s="44" t="s">
        <v>39</v>
      </c>
      <c r="J948" s="49">
        <v>1</v>
      </c>
      <c r="K948" s="45">
        <v>2.02</v>
      </c>
    </row>
    <row r="949" spans="1:12" ht="16.5" customHeight="1" x14ac:dyDescent="0.3">
      <c r="A949" s="48">
        <v>46036</v>
      </c>
      <c r="B949" s="42" t="s">
        <v>34</v>
      </c>
      <c r="D949" s="42" t="s">
        <v>575</v>
      </c>
      <c r="E949" s="42" t="s">
        <v>74</v>
      </c>
      <c r="F949" s="44" t="s">
        <v>699</v>
      </c>
      <c r="G949" s="55"/>
      <c r="H949" s="44" t="s">
        <v>39</v>
      </c>
      <c r="J949" s="49">
        <v>1</v>
      </c>
      <c r="K949" s="45">
        <v>0</v>
      </c>
      <c r="L949" s="45" t="s">
        <v>711</v>
      </c>
    </row>
    <row r="950" spans="1:12" ht="16.5" customHeight="1" x14ac:dyDescent="0.3">
      <c r="A950" s="48">
        <v>46036</v>
      </c>
      <c r="B950" s="42" t="s">
        <v>34</v>
      </c>
      <c r="D950" s="42" t="s">
        <v>575</v>
      </c>
      <c r="E950" s="42" t="s">
        <v>74</v>
      </c>
      <c r="F950" s="44" t="s">
        <v>700</v>
      </c>
      <c r="G950" s="55"/>
      <c r="H950" s="44" t="s">
        <v>39</v>
      </c>
      <c r="J950" s="49">
        <v>1</v>
      </c>
      <c r="K950" s="45">
        <v>0</v>
      </c>
      <c r="L950" s="45" t="s">
        <v>711</v>
      </c>
    </row>
    <row r="951" spans="1:12" ht="16.5" customHeight="1" x14ac:dyDescent="0.3">
      <c r="A951" s="48">
        <v>46036</v>
      </c>
      <c r="B951" s="42" t="s">
        <v>34</v>
      </c>
      <c r="D951" s="42" t="s">
        <v>575</v>
      </c>
      <c r="E951" s="42" t="s">
        <v>74</v>
      </c>
      <c r="F951" s="44" t="s">
        <v>191</v>
      </c>
      <c r="G951" s="55"/>
      <c r="H951" s="44" t="s">
        <v>39</v>
      </c>
      <c r="J951" s="49">
        <v>1</v>
      </c>
      <c r="K951" s="45">
        <v>0</v>
      </c>
      <c r="L951" s="45" t="s">
        <v>705</v>
      </c>
    </row>
    <row r="952" spans="1:12" ht="16.5" customHeight="1" x14ac:dyDescent="0.3">
      <c r="A952" s="48">
        <v>46036</v>
      </c>
      <c r="B952" s="42" t="s">
        <v>34</v>
      </c>
      <c r="D952" s="42" t="s">
        <v>575</v>
      </c>
      <c r="E952" s="42" t="s">
        <v>74</v>
      </c>
      <c r="F952" s="44" t="s">
        <v>192</v>
      </c>
      <c r="G952" s="55"/>
      <c r="H952" s="44" t="s">
        <v>39</v>
      </c>
      <c r="J952" s="49">
        <v>1</v>
      </c>
      <c r="K952" s="45">
        <v>10.48</v>
      </c>
    </row>
    <row r="953" spans="1:12" ht="16.5" customHeight="1" x14ac:dyDescent="0.3">
      <c r="A953" s="48">
        <v>46036</v>
      </c>
      <c r="B953" s="42" t="s">
        <v>34</v>
      </c>
      <c r="D953" s="42" t="s">
        <v>575</v>
      </c>
      <c r="E953" s="42" t="s">
        <v>74</v>
      </c>
      <c r="F953" s="44" t="s">
        <v>193</v>
      </c>
      <c r="G953" s="55"/>
      <c r="H953" s="44" t="s">
        <v>39</v>
      </c>
      <c r="J953" s="49">
        <v>1</v>
      </c>
      <c r="K953" s="45">
        <v>21.8</v>
      </c>
    </row>
    <row r="954" spans="1:12" ht="16.5" customHeight="1" x14ac:dyDescent="0.3">
      <c r="A954" s="48">
        <v>46036</v>
      </c>
      <c r="B954" s="42" t="s">
        <v>34</v>
      </c>
      <c r="D954" s="42" t="s">
        <v>575</v>
      </c>
      <c r="E954" s="42" t="s">
        <v>74</v>
      </c>
      <c r="F954" s="44" t="s">
        <v>194</v>
      </c>
      <c r="G954" s="55"/>
      <c r="H954" s="44" t="s">
        <v>39</v>
      </c>
      <c r="J954" s="49">
        <v>1</v>
      </c>
      <c r="K954" s="45">
        <v>0</v>
      </c>
      <c r="L954" s="45" t="s">
        <v>208</v>
      </c>
    </row>
    <row r="955" spans="1:12" ht="16.5" customHeight="1" x14ac:dyDescent="0.3">
      <c r="A955" s="48">
        <v>46036</v>
      </c>
      <c r="B955" s="42" t="s">
        <v>34</v>
      </c>
      <c r="D955" s="42" t="s">
        <v>575</v>
      </c>
      <c r="E955" s="42" t="s">
        <v>209</v>
      </c>
      <c r="F955" s="44" t="s">
        <v>712</v>
      </c>
      <c r="J955" s="49">
        <v>1</v>
      </c>
      <c r="K955" s="45">
        <v>0.5</v>
      </c>
    </row>
    <row r="956" spans="1:12" ht="16.5" customHeight="1" x14ac:dyDescent="0.3">
      <c r="A956" s="48">
        <v>46036</v>
      </c>
      <c r="B956" s="42" t="s">
        <v>34</v>
      </c>
      <c r="D956" s="42" t="s">
        <v>575</v>
      </c>
      <c r="E956" s="42" t="s">
        <v>209</v>
      </c>
      <c r="F956" s="44" t="s">
        <v>713</v>
      </c>
      <c r="J956" s="49">
        <v>1</v>
      </c>
      <c r="K956" s="45">
        <v>0.5</v>
      </c>
    </row>
    <row r="957" spans="1:12" ht="16.5" customHeight="1" x14ac:dyDescent="0.3">
      <c r="A957" s="48">
        <v>46036</v>
      </c>
      <c r="B957" s="42" t="s">
        <v>34</v>
      </c>
      <c r="D957" s="42" t="s">
        <v>575</v>
      </c>
      <c r="E957" s="42" t="s">
        <v>209</v>
      </c>
      <c r="F957" s="44" t="s">
        <v>714</v>
      </c>
      <c r="J957" s="49">
        <v>1</v>
      </c>
      <c r="K957" s="45">
        <v>0.6</v>
      </c>
    </row>
    <row r="958" spans="1:12" ht="16.5" customHeight="1" x14ac:dyDescent="0.3">
      <c r="A958" s="48">
        <v>46036</v>
      </c>
      <c r="B958" s="42" t="s">
        <v>34</v>
      </c>
      <c r="D958" s="42" t="s">
        <v>575</v>
      </c>
      <c r="E958" s="42" t="s">
        <v>209</v>
      </c>
      <c r="F958" s="44" t="s">
        <v>715</v>
      </c>
      <c r="J958" s="49">
        <v>35</v>
      </c>
      <c r="K958" s="45">
        <v>35</v>
      </c>
    </row>
    <row r="959" spans="1:12" ht="16.5" customHeight="1" x14ac:dyDescent="0.3">
      <c r="A959" s="48">
        <v>46036</v>
      </c>
      <c r="B959" s="42" t="s">
        <v>34</v>
      </c>
      <c r="D959" s="42" t="s">
        <v>575</v>
      </c>
      <c r="E959" s="42" t="s">
        <v>209</v>
      </c>
      <c r="F959" s="44" t="s">
        <v>716</v>
      </c>
      <c r="J959" s="49">
        <v>35</v>
      </c>
      <c r="K959" s="45">
        <v>42</v>
      </c>
    </row>
    <row r="960" spans="1:12" ht="16.5" customHeight="1" x14ac:dyDescent="0.3">
      <c r="A960" s="48">
        <v>46036</v>
      </c>
      <c r="B960" s="42" t="s">
        <v>34</v>
      </c>
      <c r="D960" s="42" t="s">
        <v>575</v>
      </c>
      <c r="E960" s="42" t="s">
        <v>209</v>
      </c>
      <c r="F960" s="44" t="s">
        <v>717</v>
      </c>
      <c r="J960" s="49">
        <v>35</v>
      </c>
      <c r="K960" s="45">
        <v>17.5</v>
      </c>
    </row>
    <row r="961" spans="1:14" ht="16.5" customHeight="1" x14ac:dyDescent="0.3">
      <c r="A961" s="48">
        <v>46036</v>
      </c>
      <c r="B961" s="42" t="s">
        <v>34</v>
      </c>
      <c r="D961" s="42" t="s">
        <v>575</v>
      </c>
      <c r="E961" s="42" t="s">
        <v>209</v>
      </c>
      <c r="F961" s="44" t="s">
        <v>718</v>
      </c>
      <c r="J961" s="49">
        <v>35</v>
      </c>
      <c r="K961" s="45">
        <v>3.5</v>
      </c>
    </row>
    <row r="962" spans="1:14" ht="16.5" customHeight="1" x14ac:dyDescent="0.3">
      <c r="A962" s="48">
        <v>46036</v>
      </c>
      <c r="B962" s="42" t="s">
        <v>34</v>
      </c>
      <c r="D962" s="42" t="s">
        <v>575</v>
      </c>
      <c r="E962" s="42" t="s">
        <v>209</v>
      </c>
      <c r="F962" s="44" t="s">
        <v>210</v>
      </c>
      <c r="J962" s="49">
        <v>1</v>
      </c>
      <c r="K962" s="45">
        <v>0.8</v>
      </c>
      <c r="M962" s="58"/>
      <c r="N962" s="58"/>
    </row>
    <row r="963" spans="1:14" ht="16.5" customHeight="1" x14ac:dyDescent="0.3">
      <c r="A963" s="48">
        <v>46036</v>
      </c>
      <c r="B963" s="42" t="s">
        <v>34</v>
      </c>
      <c r="D963" s="42" t="s">
        <v>575</v>
      </c>
      <c r="E963" s="42" t="s">
        <v>209</v>
      </c>
      <c r="F963" s="44" t="s">
        <v>211</v>
      </c>
      <c r="J963" s="49">
        <v>1</v>
      </c>
      <c r="K963" s="45">
        <v>0.8</v>
      </c>
    </row>
    <row r="964" spans="1:14" ht="16.5" customHeight="1" x14ac:dyDescent="0.3">
      <c r="A964" s="48">
        <v>46036</v>
      </c>
      <c r="B964" s="42" t="s">
        <v>34</v>
      </c>
      <c r="D964" s="42" t="s">
        <v>575</v>
      </c>
      <c r="E964" s="42" t="s">
        <v>209</v>
      </c>
      <c r="F964" s="44" t="s">
        <v>212</v>
      </c>
      <c r="J964" s="49">
        <v>1</v>
      </c>
      <c r="K964" s="45">
        <v>0.8</v>
      </c>
      <c r="M964" s="58"/>
      <c r="N964" s="58"/>
    </row>
    <row r="965" spans="1:14" ht="16.5" customHeight="1" x14ac:dyDescent="0.3">
      <c r="A965" s="48">
        <v>46036</v>
      </c>
      <c r="B965" s="42" t="s">
        <v>34</v>
      </c>
      <c r="D965" s="42" t="s">
        <v>575</v>
      </c>
      <c r="E965" s="42" t="s">
        <v>209</v>
      </c>
      <c r="F965" s="44" t="s">
        <v>213</v>
      </c>
      <c r="J965" s="49">
        <v>1</v>
      </c>
      <c r="K965" s="45">
        <v>0.7</v>
      </c>
    </row>
    <row r="966" spans="1:14" ht="16.5" customHeight="1" x14ac:dyDescent="0.3">
      <c r="A966" s="48">
        <v>46036</v>
      </c>
      <c r="B966" s="42" t="s">
        <v>34</v>
      </c>
      <c r="D966" s="42" t="s">
        <v>575</v>
      </c>
      <c r="E966" s="42" t="s">
        <v>209</v>
      </c>
      <c r="F966" s="44" t="s">
        <v>214</v>
      </c>
      <c r="J966" s="49">
        <v>1</v>
      </c>
      <c r="K966" s="45">
        <v>0.1</v>
      </c>
    </row>
    <row r="967" spans="1:14" ht="16.5" customHeight="1" x14ac:dyDescent="0.3">
      <c r="A967" s="48">
        <v>46036</v>
      </c>
      <c r="B967" s="42" t="s">
        <v>34</v>
      </c>
      <c r="D967" s="42" t="s">
        <v>575</v>
      </c>
      <c r="E967" s="42" t="s">
        <v>209</v>
      </c>
      <c r="F967" s="44" t="s">
        <v>215</v>
      </c>
      <c r="J967" s="49">
        <v>1</v>
      </c>
      <c r="K967" s="45">
        <v>0.8</v>
      </c>
    </row>
    <row r="968" spans="1:14" ht="16.5" customHeight="1" x14ac:dyDescent="0.3">
      <c r="A968" s="48">
        <v>46036</v>
      </c>
      <c r="B968" s="42" t="s">
        <v>34</v>
      </c>
      <c r="D968" s="42" t="s">
        <v>575</v>
      </c>
      <c r="E968" s="42" t="s">
        <v>209</v>
      </c>
      <c r="F968" s="44" t="s">
        <v>216</v>
      </c>
      <c r="J968" s="49">
        <v>1</v>
      </c>
      <c r="K968" s="45">
        <v>0.8</v>
      </c>
    </row>
    <row r="969" spans="1:14" ht="16.5" customHeight="1" x14ac:dyDescent="0.3">
      <c r="A969" s="48">
        <v>46036</v>
      </c>
      <c r="B969" s="42" t="s">
        <v>34</v>
      </c>
      <c r="D969" s="42" t="s">
        <v>575</v>
      </c>
      <c r="E969" s="42" t="s">
        <v>209</v>
      </c>
      <c r="F969" s="44" t="s">
        <v>217</v>
      </c>
      <c r="J969" s="49">
        <v>1</v>
      </c>
      <c r="K969" s="45">
        <v>0.8</v>
      </c>
    </row>
    <row r="970" spans="1:14" ht="16.5" customHeight="1" x14ac:dyDescent="0.3">
      <c r="A970" s="48">
        <v>46036</v>
      </c>
      <c r="B970" s="42" t="s">
        <v>34</v>
      </c>
      <c r="D970" s="42" t="s">
        <v>575</v>
      </c>
      <c r="E970" s="42" t="s">
        <v>209</v>
      </c>
      <c r="F970" s="44" t="s">
        <v>218</v>
      </c>
      <c r="J970" s="49">
        <v>1</v>
      </c>
      <c r="K970" s="45">
        <v>0.7</v>
      </c>
    </row>
    <row r="971" spans="1:14" ht="16.5" customHeight="1" x14ac:dyDescent="0.3">
      <c r="A971" s="48">
        <v>46036</v>
      </c>
      <c r="B971" s="42" t="s">
        <v>34</v>
      </c>
      <c r="D971" s="42" t="s">
        <v>575</v>
      </c>
      <c r="E971" s="42" t="s">
        <v>209</v>
      </c>
      <c r="F971" s="44" t="s">
        <v>219</v>
      </c>
      <c r="J971" s="49">
        <v>1</v>
      </c>
      <c r="K971" s="45">
        <v>0.7</v>
      </c>
    </row>
    <row r="972" spans="1:14" ht="16.5" customHeight="1" x14ac:dyDescent="0.3">
      <c r="A972" s="48">
        <v>46036</v>
      </c>
      <c r="B972" s="42" t="s">
        <v>34</v>
      </c>
      <c r="D972" s="42" t="s">
        <v>575</v>
      </c>
      <c r="E972" s="42" t="s">
        <v>209</v>
      </c>
      <c r="F972" s="44" t="s">
        <v>220</v>
      </c>
      <c r="J972" s="49">
        <v>1</v>
      </c>
      <c r="K972" s="45">
        <v>0.8</v>
      </c>
    </row>
    <row r="973" spans="1:14" ht="16.5" customHeight="1" x14ac:dyDescent="0.3">
      <c r="A973" s="48">
        <v>46036</v>
      </c>
      <c r="B973" s="42" t="s">
        <v>34</v>
      </c>
      <c r="D973" s="42" t="s">
        <v>575</v>
      </c>
      <c r="E973" s="42" t="s">
        <v>209</v>
      </c>
      <c r="F973" s="44" t="s">
        <v>221</v>
      </c>
      <c r="J973" s="49">
        <v>1</v>
      </c>
      <c r="K973" s="45">
        <v>0.8</v>
      </c>
    </row>
    <row r="974" spans="1:14" ht="16.5" customHeight="1" x14ac:dyDescent="0.3">
      <c r="A974" s="48">
        <v>46036</v>
      </c>
      <c r="B974" s="42" t="s">
        <v>34</v>
      </c>
      <c r="D974" s="42" t="s">
        <v>575</v>
      </c>
      <c r="E974" s="42" t="s">
        <v>209</v>
      </c>
      <c r="F974" s="44" t="s">
        <v>222</v>
      </c>
      <c r="J974" s="49">
        <v>1</v>
      </c>
      <c r="K974" s="45">
        <v>0.8</v>
      </c>
    </row>
    <row r="975" spans="1:14" ht="16.5" customHeight="1" x14ac:dyDescent="0.3">
      <c r="A975" s="48">
        <v>46036</v>
      </c>
      <c r="B975" s="42" t="s">
        <v>34</v>
      </c>
      <c r="D975" s="42" t="s">
        <v>575</v>
      </c>
      <c r="E975" s="42" t="s">
        <v>209</v>
      </c>
      <c r="F975" s="44" t="s">
        <v>223</v>
      </c>
      <c r="J975" s="49">
        <v>1</v>
      </c>
      <c r="K975" s="45">
        <v>0.8</v>
      </c>
    </row>
    <row r="976" spans="1:14" ht="16.5" customHeight="1" x14ac:dyDescent="0.3">
      <c r="A976" s="48">
        <v>46036</v>
      </c>
      <c r="B976" s="42" t="s">
        <v>34</v>
      </c>
      <c r="D976" s="42" t="s">
        <v>575</v>
      </c>
      <c r="E976" s="42" t="s">
        <v>209</v>
      </c>
      <c r="F976" s="44" t="s">
        <v>224</v>
      </c>
      <c r="J976" s="49">
        <v>1</v>
      </c>
      <c r="K976" s="45">
        <v>0.1</v>
      </c>
    </row>
    <row r="977" spans="1:14" ht="16.5" customHeight="1" x14ac:dyDescent="0.3">
      <c r="A977" s="48">
        <v>46036</v>
      </c>
      <c r="B977" s="42" t="s">
        <v>34</v>
      </c>
      <c r="D977" s="42" t="s">
        <v>575</v>
      </c>
      <c r="E977" s="42" t="s">
        <v>209</v>
      </c>
      <c r="F977" s="44" t="s">
        <v>225</v>
      </c>
      <c r="I977" s="40"/>
      <c r="J977" s="49">
        <v>1</v>
      </c>
      <c r="K977" s="45">
        <v>0.6</v>
      </c>
    </row>
    <row r="978" spans="1:14" ht="16.5" customHeight="1" x14ac:dyDescent="0.3">
      <c r="A978" s="48">
        <v>46036</v>
      </c>
      <c r="B978" s="42" t="s">
        <v>34</v>
      </c>
      <c r="D978" s="42" t="s">
        <v>575</v>
      </c>
      <c r="E978" s="42" t="s">
        <v>209</v>
      </c>
      <c r="F978" s="44" t="s">
        <v>226</v>
      </c>
      <c r="I978" s="40"/>
      <c r="J978" s="49">
        <v>1</v>
      </c>
      <c r="K978" s="45">
        <v>0.9</v>
      </c>
    </row>
    <row r="979" spans="1:14" ht="16.5" customHeight="1" x14ac:dyDescent="0.3">
      <c r="A979" s="48">
        <v>46036</v>
      </c>
      <c r="B979" s="42" t="s">
        <v>34</v>
      </c>
      <c r="D979" s="42" t="s">
        <v>575</v>
      </c>
      <c r="E979" s="42" t="s">
        <v>209</v>
      </c>
      <c r="F979" s="44" t="s">
        <v>227</v>
      </c>
      <c r="I979" s="40"/>
      <c r="J979" s="49">
        <v>1</v>
      </c>
      <c r="K979" s="45">
        <v>1.3</v>
      </c>
    </row>
    <row r="980" spans="1:14" ht="16.5" customHeight="1" x14ac:dyDescent="0.3">
      <c r="A980" s="48">
        <v>46036</v>
      </c>
      <c r="B980" s="42" t="s">
        <v>34</v>
      </c>
      <c r="D980" s="42" t="s">
        <v>575</v>
      </c>
      <c r="E980" s="42" t="s">
        <v>209</v>
      </c>
      <c r="F980" s="44" t="s">
        <v>228</v>
      </c>
      <c r="I980" s="40"/>
      <c r="J980" s="49">
        <v>1</v>
      </c>
      <c r="K980" s="45">
        <v>1</v>
      </c>
    </row>
    <row r="981" spans="1:14" ht="16.5" customHeight="1" x14ac:dyDescent="0.3">
      <c r="A981" s="48">
        <v>46036</v>
      </c>
      <c r="B981" s="42" t="s">
        <v>34</v>
      </c>
      <c r="D981" s="42" t="s">
        <v>575</v>
      </c>
      <c r="E981" s="42" t="s">
        <v>209</v>
      </c>
      <c r="F981" s="44" t="s">
        <v>229</v>
      </c>
      <c r="I981" s="40"/>
      <c r="J981" s="49">
        <v>1</v>
      </c>
      <c r="K981" s="45">
        <v>0.8</v>
      </c>
    </row>
    <row r="982" spans="1:14" ht="16.5" customHeight="1" x14ac:dyDescent="0.3">
      <c r="A982" s="48">
        <v>46036</v>
      </c>
      <c r="B982" s="42" t="s">
        <v>34</v>
      </c>
      <c r="D982" s="42" t="s">
        <v>575</v>
      </c>
      <c r="E982" s="42" t="s">
        <v>209</v>
      </c>
      <c r="F982" s="44" t="s">
        <v>230</v>
      </c>
      <c r="I982" s="40"/>
      <c r="J982" s="49">
        <v>1</v>
      </c>
      <c r="K982" s="45">
        <v>0.6</v>
      </c>
    </row>
    <row r="983" spans="1:14" ht="16.5" customHeight="1" x14ac:dyDescent="0.3">
      <c r="A983" s="48">
        <v>46036</v>
      </c>
      <c r="B983" s="42" t="s">
        <v>34</v>
      </c>
      <c r="D983" s="42" t="s">
        <v>575</v>
      </c>
      <c r="E983" s="42" t="s">
        <v>209</v>
      </c>
      <c r="F983" s="44" t="s">
        <v>231</v>
      </c>
      <c r="I983" s="40"/>
      <c r="J983" s="49">
        <v>1</v>
      </c>
      <c r="K983" s="45">
        <v>0.8</v>
      </c>
    </row>
    <row r="984" spans="1:14" ht="16.5" customHeight="1" x14ac:dyDescent="0.3">
      <c r="A984" s="48">
        <v>46036</v>
      </c>
      <c r="B984" s="42" t="s">
        <v>34</v>
      </c>
      <c r="D984" s="42" t="s">
        <v>575</v>
      </c>
      <c r="E984" s="42" t="s">
        <v>209</v>
      </c>
      <c r="F984" s="44" t="s">
        <v>232</v>
      </c>
      <c r="I984" s="40"/>
      <c r="J984" s="49">
        <v>1</v>
      </c>
      <c r="K984" s="45">
        <v>0.9</v>
      </c>
    </row>
    <row r="985" spans="1:14" ht="16.5" customHeight="1" x14ac:dyDescent="0.3">
      <c r="A985" s="48">
        <v>46036</v>
      </c>
      <c r="B985" s="42" t="s">
        <v>34</v>
      </c>
      <c r="D985" s="42" t="s">
        <v>575</v>
      </c>
      <c r="E985" s="42" t="s">
        <v>209</v>
      </c>
      <c r="F985" s="44" t="s">
        <v>233</v>
      </c>
      <c r="I985" s="40"/>
      <c r="J985" s="49">
        <v>1</v>
      </c>
      <c r="K985" s="45">
        <v>1</v>
      </c>
      <c r="M985" s="58"/>
      <c r="N985" s="58"/>
    </row>
    <row r="986" spans="1:14" ht="16.5" customHeight="1" x14ac:dyDescent="0.3">
      <c r="A986" s="48">
        <v>46036</v>
      </c>
      <c r="B986" s="42" t="s">
        <v>34</v>
      </c>
      <c r="D986" s="42" t="s">
        <v>575</v>
      </c>
      <c r="E986" s="42" t="s">
        <v>209</v>
      </c>
      <c r="F986" s="44" t="s">
        <v>234</v>
      </c>
      <c r="I986" s="40"/>
      <c r="J986" s="49">
        <v>1</v>
      </c>
      <c r="K986" s="45">
        <v>1</v>
      </c>
      <c r="M986" s="58"/>
      <c r="N986" s="58"/>
    </row>
    <row r="987" spans="1:14" ht="16.5" customHeight="1" x14ac:dyDescent="0.3">
      <c r="A987" s="48">
        <v>46036</v>
      </c>
      <c r="B987" s="42" t="s">
        <v>34</v>
      </c>
      <c r="D987" s="42" t="s">
        <v>575</v>
      </c>
      <c r="E987" s="42" t="s">
        <v>209</v>
      </c>
      <c r="F987" s="44" t="s">
        <v>235</v>
      </c>
      <c r="I987" s="40"/>
      <c r="J987" s="49">
        <v>1</v>
      </c>
      <c r="K987" s="45">
        <v>1.1000000000000001</v>
      </c>
    </row>
    <row r="988" spans="1:14" ht="16.5" customHeight="1" x14ac:dyDescent="0.3">
      <c r="A988" s="48">
        <v>46036</v>
      </c>
      <c r="B988" s="42" t="s">
        <v>34</v>
      </c>
      <c r="D988" s="42" t="s">
        <v>575</v>
      </c>
      <c r="E988" s="42" t="s">
        <v>209</v>
      </c>
      <c r="F988" s="44" t="s">
        <v>236</v>
      </c>
      <c r="I988" s="40"/>
      <c r="J988" s="49">
        <v>1</v>
      </c>
      <c r="K988" s="45">
        <v>0.8</v>
      </c>
    </row>
    <row r="989" spans="1:14" ht="16.5" customHeight="1" x14ac:dyDescent="0.3">
      <c r="A989" s="48">
        <v>46036</v>
      </c>
      <c r="B989" s="42" t="s">
        <v>34</v>
      </c>
      <c r="D989" s="42" t="s">
        <v>575</v>
      </c>
      <c r="E989" s="42" t="s">
        <v>209</v>
      </c>
      <c r="F989" s="44" t="s">
        <v>237</v>
      </c>
      <c r="I989" s="40"/>
      <c r="J989" s="49">
        <v>1</v>
      </c>
      <c r="K989" s="45">
        <v>0.8</v>
      </c>
    </row>
    <row r="990" spans="1:14" ht="16.5" customHeight="1" x14ac:dyDescent="0.3">
      <c r="A990" s="48">
        <v>46036</v>
      </c>
      <c r="B990" s="42" t="s">
        <v>34</v>
      </c>
      <c r="D990" s="42" t="s">
        <v>575</v>
      </c>
      <c r="E990" s="42" t="s">
        <v>209</v>
      </c>
      <c r="F990" s="44" t="s">
        <v>238</v>
      </c>
      <c r="I990" s="40"/>
      <c r="J990" s="49">
        <v>1</v>
      </c>
      <c r="K990" s="45">
        <v>0.6</v>
      </c>
    </row>
    <row r="991" spans="1:14" ht="16.5" customHeight="1" x14ac:dyDescent="0.3">
      <c r="A991" s="48">
        <v>46036</v>
      </c>
      <c r="B991" s="42" t="s">
        <v>34</v>
      </c>
      <c r="D991" s="42" t="s">
        <v>575</v>
      </c>
      <c r="E991" s="42" t="s">
        <v>209</v>
      </c>
      <c r="F991" s="44" t="s">
        <v>239</v>
      </c>
      <c r="I991" s="40"/>
      <c r="J991" s="49">
        <v>1</v>
      </c>
      <c r="K991" s="45">
        <v>0.1</v>
      </c>
    </row>
    <row r="992" spans="1:14" ht="16.5" customHeight="1" x14ac:dyDescent="0.3">
      <c r="A992" s="48">
        <v>46036</v>
      </c>
      <c r="B992" s="42" t="s">
        <v>34</v>
      </c>
      <c r="D992" s="42" t="s">
        <v>575</v>
      </c>
      <c r="E992" s="42" t="s">
        <v>209</v>
      </c>
      <c r="F992" s="44" t="s">
        <v>240</v>
      </c>
      <c r="I992" s="40"/>
      <c r="J992" s="49">
        <v>1</v>
      </c>
      <c r="K992" s="45">
        <v>0.6</v>
      </c>
    </row>
    <row r="993" spans="1:14" ht="16.5" customHeight="1" x14ac:dyDescent="0.3">
      <c r="A993" s="48">
        <v>46036</v>
      </c>
      <c r="B993" s="42" t="s">
        <v>34</v>
      </c>
      <c r="D993" s="42" t="s">
        <v>575</v>
      </c>
      <c r="E993" s="42" t="s">
        <v>209</v>
      </c>
      <c r="F993" s="44" t="s">
        <v>241</v>
      </c>
      <c r="I993" s="40"/>
      <c r="J993" s="49">
        <v>1</v>
      </c>
      <c r="K993" s="45">
        <v>0.4</v>
      </c>
    </row>
    <row r="994" spans="1:14" ht="16.5" customHeight="1" x14ac:dyDescent="0.3">
      <c r="A994" s="48">
        <v>46036</v>
      </c>
      <c r="B994" s="42" t="s">
        <v>34</v>
      </c>
      <c r="D994" s="42" t="s">
        <v>575</v>
      </c>
      <c r="E994" s="42" t="s">
        <v>209</v>
      </c>
      <c r="F994" s="44" t="s">
        <v>242</v>
      </c>
      <c r="I994" s="40"/>
      <c r="J994" s="49">
        <v>1</v>
      </c>
      <c r="K994" s="45">
        <v>1.4</v>
      </c>
    </row>
    <row r="995" spans="1:14" ht="16.5" customHeight="1" x14ac:dyDescent="0.3">
      <c r="A995" s="48">
        <v>46036</v>
      </c>
      <c r="B995" s="42" t="s">
        <v>34</v>
      </c>
      <c r="D995" s="42" t="s">
        <v>575</v>
      </c>
      <c r="E995" s="42" t="s">
        <v>209</v>
      </c>
      <c r="F995" s="44" t="s">
        <v>243</v>
      </c>
      <c r="I995" s="40"/>
      <c r="J995" s="49">
        <v>1</v>
      </c>
      <c r="K995" s="45">
        <v>0.1</v>
      </c>
    </row>
    <row r="996" spans="1:14" ht="16.5" customHeight="1" x14ac:dyDescent="0.3">
      <c r="A996" s="48">
        <v>46036</v>
      </c>
      <c r="B996" s="42" t="s">
        <v>34</v>
      </c>
      <c r="D996" s="42" t="s">
        <v>575</v>
      </c>
      <c r="E996" s="42" t="s">
        <v>209</v>
      </c>
      <c r="F996" s="44" t="s">
        <v>244</v>
      </c>
      <c r="I996" s="40"/>
      <c r="J996" s="49">
        <v>1</v>
      </c>
      <c r="K996" s="45">
        <v>1.5</v>
      </c>
    </row>
    <row r="997" spans="1:14" ht="16.5" customHeight="1" x14ac:dyDescent="0.3">
      <c r="A997" s="48">
        <v>46036</v>
      </c>
      <c r="B997" s="42" t="s">
        <v>34</v>
      </c>
      <c r="D997" s="42" t="s">
        <v>575</v>
      </c>
      <c r="E997" s="42" t="s">
        <v>209</v>
      </c>
      <c r="F997" s="44" t="s">
        <v>245</v>
      </c>
      <c r="I997" s="40"/>
      <c r="J997" s="49">
        <v>1</v>
      </c>
      <c r="K997" s="45">
        <v>1.5</v>
      </c>
    </row>
    <row r="998" spans="1:14" ht="16.5" customHeight="1" x14ac:dyDescent="0.3">
      <c r="A998" s="48">
        <v>46036</v>
      </c>
      <c r="B998" s="42" t="s">
        <v>34</v>
      </c>
      <c r="D998" s="42" t="s">
        <v>575</v>
      </c>
      <c r="E998" s="42" t="s">
        <v>209</v>
      </c>
      <c r="F998" s="44" t="s">
        <v>246</v>
      </c>
      <c r="I998" s="40"/>
      <c r="J998" s="49">
        <v>1</v>
      </c>
      <c r="K998" s="45">
        <v>0.8</v>
      </c>
    </row>
    <row r="999" spans="1:14" ht="16.5" customHeight="1" x14ac:dyDescent="0.3">
      <c r="A999" s="48">
        <v>46036</v>
      </c>
      <c r="B999" s="42" t="s">
        <v>34</v>
      </c>
      <c r="D999" s="42" t="s">
        <v>575</v>
      </c>
      <c r="E999" s="42" t="s">
        <v>209</v>
      </c>
      <c r="F999" s="44" t="s">
        <v>247</v>
      </c>
      <c r="J999" s="49">
        <v>1</v>
      </c>
      <c r="K999" s="45">
        <v>0.3</v>
      </c>
    </row>
    <row r="1000" spans="1:14" ht="16.5" customHeight="1" x14ac:dyDescent="0.3">
      <c r="A1000" s="48">
        <v>46036</v>
      </c>
      <c r="B1000" s="42" t="s">
        <v>34</v>
      </c>
      <c r="D1000" s="42" t="s">
        <v>575</v>
      </c>
      <c r="E1000" s="42" t="s">
        <v>209</v>
      </c>
      <c r="F1000" s="44" t="s">
        <v>248</v>
      </c>
      <c r="J1000" s="49">
        <v>1</v>
      </c>
      <c r="K1000" s="45">
        <v>7.2</v>
      </c>
      <c r="M1000" s="54"/>
      <c r="N1000" s="54"/>
    </row>
    <row r="1001" spans="1:14" ht="16.5" customHeight="1" x14ac:dyDescent="0.3">
      <c r="A1001" s="48">
        <v>46036</v>
      </c>
      <c r="B1001" s="42" t="s">
        <v>34</v>
      </c>
      <c r="D1001" s="42" t="s">
        <v>575</v>
      </c>
      <c r="E1001" s="42" t="s">
        <v>209</v>
      </c>
      <c r="F1001" s="44" t="s">
        <v>249</v>
      </c>
      <c r="J1001" s="49">
        <v>1</v>
      </c>
      <c r="K1001" s="45">
        <v>0.2</v>
      </c>
      <c r="M1001" s="54"/>
      <c r="N1001" s="54"/>
    </row>
    <row r="1002" spans="1:14" ht="16.5" customHeight="1" x14ac:dyDescent="0.3">
      <c r="A1002" s="48">
        <v>46036</v>
      </c>
      <c r="B1002" s="42" t="s">
        <v>34</v>
      </c>
      <c r="D1002" s="42" t="s">
        <v>575</v>
      </c>
      <c r="E1002" s="42" t="s">
        <v>209</v>
      </c>
      <c r="F1002" s="44" t="s">
        <v>250</v>
      </c>
      <c r="J1002" s="49">
        <v>1</v>
      </c>
      <c r="K1002" s="45">
        <v>1.9</v>
      </c>
      <c r="M1002" s="54"/>
      <c r="N1002" s="54"/>
    </row>
    <row r="1003" spans="1:14" ht="16.5" customHeight="1" x14ac:dyDescent="0.3">
      <c r="A1003" s="48">
        <v>46036</v>
      </c>
      <c r="B1003" s="42" t="s">
        <v>34</v>
      </c>
      <c r="D1003" s="42" t="s">
        <v>575</v>
      </c>
      <c r="E1003" s="42" t="s">
        <v>209</v>
      </c>
      <c r="F1003" s="44" t="s">
        <v>251</v>
      </c>
      <c r="J1003" s="49">
        <v>1</v>
      </c>
      <c r="K1003" s="45">
        <v>1.7</v>
      </c>
      <c r="M1003" s="62"/>
      <c r="N1003" s="62"/>
    </row>
    <row r="1004" spans="1:14" ht="16.5" customHeight="1" x14ac:dyDescent="0.3">
      <c r="A1004" s="48">
        <v>46036</v>
      </c>
      <c r="B1004" s="42" t="s">
        <v>34</v>
      </c>
      <c r="D1004" s="42" t="s">
        <v>575</v>
      </c>
      <c r="E1004" s="42" t="s">
        <v>209</v>
      </c>
      <c r="F1004" s="44" t="s">
        <v>252</v>
      </c>
      <c r="J1004" s="49">
        <v>1</v>
      </c>
      <c r="K1004" s="45">
        <v>2.6</v>
      </c>
    </row>
    <row r="1005" spans="1:14" ht="16.5" customHeight="1" x14ac:dyDescent="0.3">
      <c r="A1005" s="48">
        <v>46036</v>
      </c>
      <c r="B1005" s="42" t="s">
        <v>34</v>
      </c>
      <c r="D1005" s="42" t="s">
        <v>575</v>
      </c>
      <c r="E1005" s="42" t="s">
        <v>209</v>
      </c>
      <c r="F1005" s="44" t="s">
        <v>253</v>
      </c>
      <c r="J1005" s="49">
        <v>1</v>
      </c>
      <c r="K1005" s="45">
        <v>1.4</v>
      </c>
    </row>
    <row r="1006" spans="1:14" ht="16.5" customHeight="1" x14ac:dyDescent="0.3">
      <c r="A1006" s="48">
        <v>46036</v>
      </c>
      <c r="B1006" s="42" t="s">
        <v>34</v>
      </c>
      <c r="D1006" s="42" t="s">
        <v>575</v>
      </c>
      <c r="E1006" s="42" t="s">
        <v>209</v>
      </c>
      <c r="F1006" s="44" t="s">
        <v>254</v>
      </c>
      <c r="J1006" s="49">
        <v>1</v>
      </c>
      <c r="K1006" s="45">
        <v>3.4</v>
      </c>
    </row>
    <row r="1007" spans="1:14" ht="16.5" customHeight="1" x14ac:dyDescent="0.3">
      <c r="A1007" s="48">
        <v>46036</v>
      </c>
      <c r="B1007" s="42" t="s">
        <v>34</v>
      </c>
      <c r="D1007" s="42" t="s">
        <v>575</v>
      </c>
      <c r="E1007" s="42" t="s">
        <v>209</v>
      </c>
      <c r="F1007" s="44" t="s">
        <v>255</v>
      </c>
      <c r="J1007" s="49">
        <v>1</v>
      </c>
      <c r="K1007" s="45">
        <v>1.2</v>
      </c>
    </row>
    <row r="1008" spans="1:14" ht="16.5" customHeight="1" x14ac:dyDescent="0.3">
      <c r="A1008" s="48">
        <v>46036</v>
      </c>
      <c r="B1008" s="42" t="s">
        <v>34</v>
      </c>
      <c r="D1008" s="42" t="s">
        <v>575</v>
      </c>
      <c r="E1008" s="42" t="s">
        <v>209</v>
      </c>
      <c r="F1008" s="44" t="s">
        <v>256</v>
      </c>
      <c r="J1008" s="49">
        <v>1</v>
      </c>
      <c r="K1008" s="45">
        <v>7.5</v>
      </c>
    </row>
    <row r="1009" spans="1:14" ht="16.5" customHeight="1" x14ac:dyDescent="0.3">
      <c r="A1009" s="48">
        <v>46036</v>
      </c>
      <c r="B1009" s="42" t="s">
        <v>34</v>
      </c>
      <c r="D1009" s="42" t="s">
        <v>575</v>
      </c>
      <c r="E1009" s="42" t="s">
        <v>209</v>
      </c>
      <c r="F1009" s="44" t="s">
        <v>257</v>
      </c>
      <c r="J1009" s="49">
        <v>1</v>
      </c>
      <c r="K1009" s="45">
        <v>3.7</v>
      </c>
    </row>
    <row r="1010" spans="1:14" ht="16.5" customHeight="1" x14ac:dyDescent="0.3">
      <c r="A1010" s="48">
        <v>46036</v>
      </c>
      <c r="B1010" s="42" t="s">
        <v>34</v>
      </c>
      <c r="D1010" s="42" t="s">
        <v>575</v>
      </c>
      <c r="E1010" s="42" t="s">
        <v>209</v>
      </c>
      <c r="F1010" s="44" t="s">
        <v>258</v>
      </c>
      <c r="J1010" s="49">
        <v>1</v>
      </c>
      <c r="K1010" s="45">
        <v>0.9</v>
      </c>
    </row>
    <row r="1011" spans="1:14" ht="16.5" customHeight="1" x14ac:dyDescent="0.3">
      <c r="A1011" s="48">
        <v>46036</v>
      </c>
      <c r="B1011" s="42" t="s">
        <v>34</v>
      </c>
      <c r="D1011" s="42" t="s">
        <v>575</v>
      </c>
      <c r="E1011" s="42" t="s">
        <v>209</v>
      </c>
      <c r="F1011" s="44" t="s">
        <v>259</v>
      </c>
      <c r="J1011" s="49">
        <v>1</v>
      </c>
      <c r="K1011" s="45">
        <v>0.4</v>
      </c>
    </row>
    <row r="1012" spans="1:14" ht="16.5" customHeight="1" x14ac:dyDescent="0.3">
      <c r="A1012" s="48">
        <v>46036</v>
      </c>
      <c r="B1012" s="42" t="s">
        <v>34</v>
      </c>
      <c r="D1012" s="42" t="s">
        <v>575</v>
      </c>
      <c r="E1012" s="42" t="s">
        <v>209</v>
      </c>
      <c r="F1012" s="44" t="s">
        <v>260</v>
      </c>
      <c r="J1012" s="49">
        <v>1</v>
      </c>
      <c r="K1012" s="45">
        <v>1</v>
      </c>
    </row>
    <row r="1013" spans="1:14" ht="16.5" customHeight="1" x14ac:dyDescent="0.3">
      <c r="A1013" s="48">
        <v>46036</v>
      </c>
      <c r="B1013" s="42" t="s">
        <v>34</v>
      </c>
      <c r="D1013" s="42" t="s">
        <v>575</v>
      </c>
      <c r="E1013" s="42" t="s">
        <v>209</v>
      </c>
      <c r="F1013" s="44" t="s">
        <v>261</v>
      </c>
      <c r="J1013" s="49">
        <v>1</v>
      </c>
      <c r="K1013" s="45">
        <v>1.7</v>
      </c>
    </row>
    <row r="1014" spans="1:14" ht="16.5" customHeight="1" x14ac:dyDescent="0.3">
      <c r="A1014" s="48">
        <v>46036</v>
      </c>
      <c r="B1014" s="42" t="s">
        <v>34</v>
      </c>
      <c r="D1014" s="42" t="s">
        <v>575</v>
      </c>
      <c r="E1014" s="42" t="s">
        <v>209</v>
      </c>
      <c r="F1014" s="44" t="s">
        <v>262</v>
      </c>
      <c r="J1014" s="49">
        <v>1</v>
      </c>
      <c r="K1014" s="45">
        <v>2.2000000000000002</v>
      </c>
    </row>
    <row r="1015" spans="1:14" ht="16.5" customHeight="1" x14ac:dyDescent="0.3">
      <c r="A1015" s="48">
        <v>46036</v>
      </c>
      <c r="B1015" s="42" t="s">
        <v>34</v>
      </c>
      <c r="D1015" s="42" t="s">
        <v>575</v>
      </c>
      <c r="E1015" s="42" t="s">
        <v>209</v>
      </c>
      <c r="F1015" s="44" t="s">
        <v>263</v>
      </c>
      <c r="J1015" s="49">
        <v>1</v>
      </c>
      <c r="K1015" s="45">
        <v>0.2</v>
      </c>
    </row>
    <row r="1016" spans="1:14" ht="16.5" customHeight="1" x14ac:dyDescent="0.3">
      <c r="A1016" s="48">
        <v>46036</v>
      </c>
      <c r="B1016" s="42" t="s">
        <v>34</v>
      </c>
      <c r="D1016" s="42" t="s">
        <v>575</v>
      </c>
      <c r="E1016" s="42" t="s">
        <v>209</v>
      </c>
      <c r="F1016" s="44" t="s">
        <v>264</v>
      </c>
      <c r="J1016" s="49">
        <v>1</v>
      </c>
      <c r="K1016" s="45">
        <v>1.7</v>
      </c>
    </row>
    <row r="1017" spans="1:14" ht="16.5" customHeight="1" x14ac:dyDescent="0.3">
      <c r="A1017" s="48">
        <v>46036</v>
      </c>
      <c r="B1017" s="42" t="s">
        <v>34</v>
      </c>
      <c r="D1017" s="42" t="s">
        <v>575</v>
      </c>
      <c r="E1017" s="42" t="s">
        <v>209</v>
      </c>
      <c r="F1017" s="44" t="s">
        <v>265</v>
      </c>
      <c r="J1017" s="49">
        <v>1</v>
      </c>
      <c r="K1017" s="45">
        <v>1.4</v>
      </c>
    </row>
    <row r="1018" spans="1:14" ht="16.5" customHeight="1" x14ac:dyDescent="0.3">
      <c r="A1018" s="48">
        <v>46036</v>
      </c>
      <c r="B1018" s="42" t="s">
        <v>34</v>
      </c>
      <c r="D1018" s="42" t="s">
        <v>575</v>
      </c>
      <c r="E1018" s="42" t="s">
        <v>209</v>
      </c>
      <c r="F1018" s="44" t="s">
        <v>266</v>
      </c>
      <c r="J1018" s="49">
        <v>1</v>
      </c>
      <c r="K1018" s="45">
        <v>1.2</v>
      </c>
    </row>
    <row r="1019" spans="1:14" x14ac:dyDescent="0.3">
      <c r="A1019" s="48">
        <v>46036</v>
      </c>
      <c r="B1019" s="42" t="s">
        <v>34</v>
      </c>
      <c r="D1019" s="42" t="s">
        <v>575</v>
      </c>
      <c r="E1019" s="42" t="s">
        <v>209</v>
      </c>
      <c r="F1019" s="44" t="s">
        <v>267</v>
      </c>
      <c r="J1019" s="49">
        <v>1</v>
      </c>
      <c r="K1019" s="45">
        <v>1.2</v>
      </c>
    </row>
    <row r="1020" spans="1:14" x14ac:dyDescent="0.3">
      <c r="A1020" s="48">
        <v>46036</v>
      </c>
      <c r="B1020" s="42" t="s">
        <v>34</v>
      </c>
      <c r="D1020" s="42" t="s">
        <v>575</v>
      </c>
      <c r="E1020" s="42" t="s">
        <v>209</v>
      </c>
      <c r="F1020" s="44" t="s">
        <v>268</v>
      </c>
      <c r="J1020" s="49">
        <v>1</v>
      </c>
      <c r="K1020" s="45">
        <v>1.7</v>
      </c>
    </row>
    <row r="1021" spans="1:14" x14ac:dyDescent="0.3">
      <c r="A1021" s="48">
        <v>46036</v>
      </c>
      <c r="B1021" s="42" t="s">
        <v>34</v>
      </c>
      <c r="D1021" s="42" t="s">
        <v>575</v>
      </c>
      <c r="E1021" s="42" t="s">
        <v>209</v>
      </c>
      <c r="F1021" s="44" t="s">
        <v>269</v>
      </c>
      <c r="J1021" s="49">
        <v>1</v>
      </c>
      <c r="K1021" s="45">
        <v>2.4</v>
      </c>
    </row>
    <row r="1022" spans="1:14" x14ac:dyDescent="0.3">
      <c r="A1022" s="48">
        <v>46036</v>
      </c>
      <c r="B1022" s="42" t="s">
        <v>34</v>
      </c>
      <c r="D1022" s="42" t="s">
        <v>575</v>
      </c>
      <c r="E1022" s="42" t="s">
        <v>209</v>
      </c>
      <c r="F1022" s="44" t="s">
        <v>270</v>
      </c>
      <c r="J1022" s="49">
        <v>1</v>
      </c>
      <c r="K1022" s="46">
        <v>1.6</v>
      </c>
      <c r="L1022" s="46"/>
      <c r="M1022" s="54"/>
      <c r="N1022" s="54"/>
    </row>
    <row r="1023" spans="1:14" x14ac:dyDescent="0.3">
      <c r="A1023" s="48">
        <v>46036</v>
      </c>
      <c r="B1023" s="42" t="s">
        <v>34</v>
      </c>
      <c r="D1023" s="42" t="s">
        <v>575</v>
      </c>
      <c r="E1023" s="42" t="s">
        <v>209</v>
      </c>
      <c r="F1023" s="44" t="s">
        <v>271</v>
      </c>
      <c r="J1023" s="49">
        <v>1</v>
      </c>
      <c r="K1023" s="46">
        <v>5</v>
      </c>
      <c r="L1023" s="46"/>
      <c r="M1023" s="54"/>
      <c r="N1023" s="54"/>
    </row>
    <row r="1024" spans="1:14" x14ac:dyDescent="0.3">
      <c r="A1024" s="48">
        <v>46036</v>
      </c>
      <c r="B1024" s="42" t="s">
        <v>34</v>
      </c>
      <c r="D1024" s="42" t="s">
        <v>575</v>
      </c>
      <c r="E1024" s="42" t="s">
        <v>209</v>
      </c>
      <c r="F1024" s="44" t="s">
        <v>272</v>
      </c>
      <c r="J1024" s="49">
        <v>1</v>
      </c>
      <c r="K1024" s="45">
        <v>1</v>
      </c>
      <c r="M1024" s="54"/>
      <c r="N1024" s="54"/>
    </row>
    <row r="1025" spans="1:14" x14ac:dyDescent="0.3">
      <c r="A1025" s="48">
        <v>46036</v>
      </c>
      <c r="B1025" s="42" t="s">
        <v>34</v>
      </c>
      <c r="D1025" s="42" t="s">
        <v>575</v>
      </c>
      <c r="E1025" s="42" t="s">
        <v>209</v>
      </c>
      <c r="F1025" s="44" t="s">
        <v>273</v>
      </c>
      <c r="J1025" s="49">
        <v>1</v>
      </c>
      <c r="K1025" s="45">
        <v>0.5</v>
      </c>
      <c r="M1025" s="54"/>
      <c r="N1025" s="54"/>
    </row>
    <row r="1026" spans="1:14" x14ac:dyDescent="0.3">
      <c r="A1026" s="48">
        <v>46036</v>
      </c>
      <c r="B1026" s="42" t="s">
        <v>34</v>
      </c>
      <c r="D1026" s="42" t="s">
        <v>575</v>
      </c>
      <c r="E1026" s="42" t="s">
        <v>209</v>
      </c>
      <c r="F1026" s="44" t="s">
        <v>274</v>
      </c>
      <c r="G1026" s="68"/>
      <c r="H1026" s="68"/>
      <c r="I1026" s="59"/>
      <c r="J1026" s="49">
        <v>1</v>
      </c>
      <c r="K1026" s="45">
        <v>0.3</v>
      </c>
      <c r="M1026" s="54"/>
      <c r="N1026" s="54"/>
    </row>
    <row r="1027" spans="1:14" x14ac:dyDescent="0.3">
      <c r="A1027" s="48">
        <v>46036</v>
      </c>
      <c r="B1027" s="42" t="s">
        <v>34</v>
      </c>
      <c r="D1027" s="42" t="s">
        <v>575</v>
      </c>
      <c r="E1027" s="42" t="s">
        <v>209</v>
      </c>
      <c r="F1027" s="44" t="s">
        <v>275</v>
      </c>
      <c r="I1027" s="60"/>
      <c r="J1027" s="49">
        <v>1</v>
      </c>
      <c r="K1027" s="45">
        <v>0.5</v>
      </c>
      <c r="M1027" s="54"/>
      <c r="N1027" s="54"/>
    </row>
    <row r="1028" spans="1:14" x14ac:dyDescent="0.3">
      <c r="A1028" s="48">
        <v>46036</v>
      </c>
      <c r="B1028" s="42" t="s">
        <v>34</v>
      </c>
      <c r="D1028" s="42" t="s">
        <v>575</v>
      </c>
      <c r="E1028" s="42" t="s">
        <v>209</v>
      </c>
      <c r="F1028" s="44" t="s">
        <v>276</v>
      </c>
      <c r="I1028" s="60"/>
      <c r="J1028" s="49">
        <v>1</v>
      </c>
      <c r="K1028" s="45">
        <v>1</v>
      </c>
    </row>
    <row r="1029" spans="1:14" x14ac:dyDescent="0.3">
      <c r="A1029" s="48">
        <v>46036</v>
      </c>
      <c r="B1029" s="42" t="s">
        <v>34</v>
      </c>
      <c r="D1029" s="42" t="s">
        <v>575</v>
      </c>
      <c r="E1029" s="42" t="s">
        <v>209</v>
      </c>
      <c r="F1029" s="44" t="s">
        <v>277</v>
      </c>
      <c r="I1029" s="60"/>
      <c r="J1029" s="49">
        <v>1</v>
      </c>
      <c r="K1029" s="45">
        <v>0.5</v>
      </c>
    </row>
    <row r="1030" spans="1:14" x14ac:dyDescent="0.3">
      <c r="A1030" s="48">
        <v>46036</v>
      </c>
      <c r="B1030" s="42" t="s">
        <v>34</v>
      </c>
      <c r="D1030" s="42" t="s">
        <v>575</v>
      </c>
      <c r="E1030" s="42" t="s">
        <v>209</v>
      </c>
      <c r="F1030" s="44" t="s">
        <v>278</v>
      </c>
      <c r="I1030" s="60"/>
      <c r="J1030" s="49">
        <v>1</v>
      </c>
      <c r="K1030" s="45">
        <v>0.1</v>
      </c>
    </row>
    <row r="1031" spans="1:14" x14ac:dyDescent="0.3">
      <c r="A1031" s="48">
        <v>46036</v>
      </c>
      <c r="B1031" s="42" t="s">
        <v>34</v>
      </c>
      <c r="D1031" s="42" t="s">
        <v>575</v>
      </c>
      <c r="E1031" s="42" t="s">
        <v>209</v>
      </c>
      <c r="F1031" s="44" t="s">
        <v>279</v>
      </c>
      <c r="I1031" s="60"/>
      <c r="J1031" s="49">
        <v>1</v>
      </c>
      <c r="K1031" s="45">
        <v>0.1</v>
      </c>
    </row>
    <row r="1032" spans="1:14" x14ac:dyDescent="0.3">
      <c r="A1032" s="48">
        <v>46036</v>
      </c>
      <c r="B1032" s="42" t="s">
        <v>34</v>
      </c>
      <c r="D1032" s="42" t="s">
        <v>575</v>
      </c>
      <c r="E1032" s="42" t="s">
        <v>209</v>
      </c>
      <c r="F1032" s="44" t="s">
        <v>280</v>
      </c>
      <c r="I1032" s="60"/>
      <c r="J1032" s="49">
        <v>1</v>
      </c>
      <c r="K1032" s="45">
        <v>0.3</v>
      </c>
    </row>
    <row r="1033" spans="1:14" x14ac:dyDescent="0.3">
      <c r="A1033" s="48">
        <v>46036</v>
      </c>
      <c r="B1033" s="42" t="s">
        <v>34</v>
      </c>
      <c r="D1033" s="42" t="s">
        <v>575</v>
      </c>
      <c r="E1033" s="42" t="s">
        <v>209</v>
      </c>
      <c r="F1033" s="44" t="s">
        <v>281</v>
      </c>
      <c r="I1033" s="60"/>
      <c r="J1033" s="49">
        <v>1</v>
      </c>
      <c r="K1033" s="45">
        <v>1.6</v>
      </c>
    </row>
    <row r="1034" spans="1:14" x14ac:dyDescent="0.3">
      <c r="A1034" s="48">
        <v>46036</v>
      </c>
      <c r="B1034" s="42" t="s">
        <v>34</v>
      </c>
      <c r="D1034" s="42" t="s">
        <v>575</v>
      </c>
      <c r="E1034" s="42" t="s">
        <v>209</v>
      </c>
      <c r="F1034" s="44" t="s">
        <v>282</v>
      </c>
      <c r="I1034" s="60"/>
      <c r="J1034" s="49">
        <v>1</v>
      </c>
      <c r="K1034" s="45">
        <v>1.1000000000000001</v>
      </c>
    </row>
    <row r="1035" spans="1:14" x14ac:dyDescent="0.3">
      <c r="A1035" s="48">
        <v>46036</v>
      </c>
      <c r="B1035" s="42" t="s">
        <v>34</v>
      </c>
      <c r="D1035" s="42" t="s">
        <v>575</v>
      </c>
      <c r="E1035" s="42" t="s">
        <v>209</v>
      </c>
      <c r="F1035" s="44" t="s">
        <v>283</v>
      </c>
      <c r="I1035" s="60"/>
      <c r="J1035" s="49">
        <v>1</v>
      </c>
      <c r="K1035" s="45">
        <v>0.4</v>
      </c>
    </row>
    <row r="1036" spans="1:14" x14ac:dyDescent="0.3">
      <c r="A1036" s="48">
        <v>46036</v>
      </c>
      <c r="B1036" s="42" t="s">
        <v>34</v>
      </c>
      <c r="D1036" s="42" t="s">
        <v>575</v>
      </c>
      <c r="E1036" s="42" t="s">
        <v>209</v>
      </c>
      <c r="F1036" s="44" t="s">
        <v>284</v>
      </c>
      <c r="I1036" s="60"/>
      <c r="J1036" s="49">
        <v>1</v>
      </c>
      <c r="K1036" s="45">
        <v>0.4</v>
      </c>
    </row>
    <row r="1037" spans="1:14" x14ac:dyDescent="0.3">
      <c r="A1037" s="48">
        <v>46036</v>
      </c>
      <c r="B1037" s="42" t="s">
        <v>34</v>
      </c>
      <c r="D1037" s="42" t="s">
        <v>575</v>
      </c>
      <c r="E1037" s="42" t="s">
        <v>209</v>
      </c>
      <c r="F1037" s="44" t="s">
        <v>285</v>
      </c>
      <c r="I1037" s="60"/>
      <c r="J1037" s="49">
        <v>1</v>
      </c>
      <c r="K1037" s="45">
        <v>0.4</v>
      </c>
    </row>
    <row r="1038" spans="1:14" x14ac:dyDescent="0.3">
      <c r="A1038" s="48">
        <v>46036</v>
      </c>
      <c r="B1038" s="42" t="s">
        <v>34</v>
      </c>
      <c r="D1038" s="42" t="s">
        <v>575</v>
      </c>
      <c r="E1038" s="42" t="s">
        <v>209</v>
      </c>
      <c r="F1038" s="44" t="s">
        <v>286</v>
      </c>
      <c r="I1038" s="60"/>
      <c r="J1038" s="49">
        <v>1</v>
      </c>
      <c r="K1038" s="45">
        <v>0.2</v>
      </c>
    </row>
    <row r="1039" spans="1:14" x14ac:dyDescent="0.3">
      <c r="A1039" s="48">
        <v>46036</v>
      </c>
      <c r="B1039" s="42" t="s">
        <v>34</v>
      </c>
      <c r="D1039" s="42" t="s">
        <v>575</v>
      </c>
      <c r="E1039" s="42" t="s">
        <v>209</v>
      </c>
      <c r="F1039" s="44" t="s">
        <v>287</v>
      </c>
      <c r="I1039" s="60"/>
      <c r="J1039" s="49">
        <v>1</v>
      </c>
      <c r="K1039" s="45">
        <v>0.1</v>
      </c>
    </row>
    <row r="1040" spans="1:14" x14ac:dyDescent="0.3">
      <c r="A1040" s="48">
        <v>46036</v>
      </c>
      <c r="B1040" s="42" t="s">
        <v>34</v>
      </c>
      <c r="D1040" s="42" t="s">
        <v>575</v>
      </c>
      <c r="E1040" s="42" t="s">
        <v>209</v>
      </c>
      <c r="F1040" s="44" t="s">
        <v>288</v>
      </c>
      <c r="I1040" s="60"/>
      <c r="J1040" s="49">
        <v>1</v>
      </c>
      <c r="K1040" s="45">
        <v>0.2</v>
      </c>
    </row>
    <row r="1041" spans="1:11" x14ac:dyDescent="0.3">
      <c r="A1041" s="48">
        <v>46036</v>
      </c>
      <c r="B1041" s="42" t="s">
        <v>34</v>
      </c>
      <c r="D1041" s="42" t="s">
        <v>575</v>
      </c>
      <c r="E1041" s="42" t="s">
        <v>209</v>
      </c>
      <c r="F1041" s="44" t="s">
        <v>289</v>
      </c>
      <c r="I1041" s="60"/>
      <c r="J1041" s="49">
        <v>1</v>
      </c>
      <c r="K1041" s="45">
        <v>2.4</v>
      </c>
    </row>
    <row r="1042" spans="1:11" x14ac:dyDescent="0.3">
      <c r="A1042" s="48">
        <v>46036</v>
      </c>
      <c r="B1042" s="42" t="s">
        <v>34</v>
      </c>
      <c r="D1042" s="42" t="s">
        <v>575</v>
      </c>
      <c r="E1042" s="42" t="s">
        <v>209</v>
      </c>
      <c r="F1042" s="44" t="s">
        <v>290</v>
      </c>
      <c r="I1042" s="60"/>
      <c r="J1042" s="49">
        <v>1</v>
      </c>
      <c r="K1042" s="45">
        <v>0.6</v>
      </c>
    </row>
    <row r="1043" spans="1:11" x14ac:dyDescent="0.3">
      <c r="A1043" s="48">
        <v>46036</v>
      </c>
      <c r="B1043" s="42" t="s">
        <v>34</v>
      </c>
      <c r="D1043" s="42" t="s">
        <v>575</v>
      </c>
      <c r="E1043" s="42" t="s">
        <v>209</v>
      </c>
      <c r="F1043" s="44" t="s">
        <v>291</v>
      </c>
      <c r="I1043" s="60"/>
      <c r="J1043" s="49">
        <v>1</v>
      </c>
      <c r="K1043" s="45">
        <v>0.3</v>
      </c>
    </row>
    <row r="1044" spans="1:11" x14ac:dyDescent="0.3">
      <c r="A1044" s="48">
        <v>46036</v>
      </c>
      <c r="B1044" s="42" t="s">
        <v>34</v>
      </c>
      <c r="D1044" s="42" t="s">
        <v>575</v>
      </c>
      <c r="E1044" s="42" t="s">
        <v>209</v>
      </c>
      <c r="F1044" s="44" t="s">
        <v>292</v>
      </c>
      <c r="I1044" s="60"/>
      <c r="J1044" s="49">
        <v>1</v>
      </c>
      <c r="K1044" s="45">
        <v>0.6</v>
      </c>
    </row>
    <row r="1045" spans="1:11" x14ac:dyDescent="0.3">
      <c r="A1045" s="48">
        <v>46036</v>
      </c>
      <c r="B1045" s="42" t="s">
        <v>34</v>
      </c>
      <c r="D1045" s="42" t="s">
        <v>575</v>
      </c>
      <c r="E1045" s="42" t="s">
        <v>209</v>
      </c>
      <c r="F1045" s="44" t="s">
        <v>293</v>
      </c>
      <c r="I1045" s="60"/>
      <c r="J1045" s="49">
        <v>1</v>
      </c>
      <c r="K1045" s="45">
        <v>1</v>
      </c>
    </row>
    <row r="1046" spans="1:11" x14ac:dyDescent="0.3">
      <c r="A1046" s="48">
        <v>46036</v>
      </c>
      <c r="B1046" s="42" t="s">
        <v>34</v>
      </c>
      <c r="D1046" s="42" t="s">
        <v>575</v>
      </c>
      <c r="E1046" s="42" t="s">
        <v>209</v>
      </c>
      <c r="F1046" s="44" t="s">
        <v>294</v>
      </c>
      <c r="I1046" s="60"/>
      <c r="J1046" s="49">
        <v>1</v>
      </c>
      <c r="K1046" s="45">
        <v>1.9</v>
      </c>
    </row>
    <row r="1047" spans="1:11" x14ac:dyDescent="0.3">
      <c r="A1047" s="48">
        <v>46036</v>
      </c>
      <c r="B1047" s="42" t="s">
        <v>34</v>
      </c>
      <c r="D1047" s="42" t="s">
        <v>575</v>
      </c>
      <c r="E1047" s="42" t="s">
        <v>209</v>
      </c>
      <c r="F1047" s="44" t="s">
        <v>295</v>
      </c>
      <c r="I1047" s="60"/>
      <c r="J1047" s="49">
        <v>1</v>
      </c>
      <c r="K1047" s="45">
        <v>0.5</v>
      </c>
    </row>
    <row r="1048" spans="1:11" x14ac:dyDescent="0.3">
      <c r="A1048" s="48">
        <v>46036</v>
      </c>
      <c r="B1048" s="42" t="s">
        <v>34</v>
      </c>
      <c r="D1048" s="42" t="s">
        <v>575</v>
      </c>
      <c r="E1048" s="42" t="s">
        <v>209</v>
      </c>
      <c r="F1048" s="44" t="s">
        <v>296</v>
      </c>
      <c r="I1048" s="60"/>
      <c r="J1048" s="49">
        <v>1</v>
      </c>
      <c r="K1048" s="45">
        <v>1.5</v>
      </c>
    </row>
    <row r="1049" spans="1:11" x14ac:dyDescent="0.3">
      <c r="A1049" s="48">
        <v>46036</v>
      </c>
      <c r="B1049" s="42" t="s">
        <v>34</v>
      </c>
      <c r="D1049" s="42" t="s">
        <v>575</v>
      </c>
      <c r="E1049" s="42" t="s">
        <v>209</v>
      </c>
      <c r="F1049" s="44" t="s">
        <v>297</v>
      </c>
      <c r="I1049" s="60"/>
      <c r="J1049" s="49">
        <v>1</v>
      </c>
      <c r="K1049" s="45">
        <v>5.0999999999999996</v>
      </c>
    </row>
    <row r="1050" spans="1:11" x14ac:dyDescent="0.3">
      <c r="A1050" s="48">
        <v>46036</v>
      </c>
      <c r="B1050" s="42" t="s">
        <v>34</v>
      </c>
      <c r="D1050" s="42" t="s">
        <v>575</v>
      </c>
      <c r="E1050" s="42" t="s">
        <v>209</v>
      </c>
      <c r="F1050" s="44" t="s">
        <v>298</v>
      </c>
      <c r="I1050" s="60"/>
      <c r="J1050" s="49">
        <v>1</v>
      </c>
      <c r="K1050" s="45">
        <v>0.3</v>
      </c>
    </row>
    <row r="1051" spans="1:11" x14ac:dyDescent="0.3">
      <c r="A1051" s="48">
        <v>46036</v>
      </c>
      <c r="B1051" s="42" t="s">
        <v>34</v>
      </c>
      <c r="D1051" s="42" t="s">
        <v>575</v>
      </c>
      <c r="E1051" s="42" t="s">
        <v>209</v>
      </c>
      <c r="F1051" s="44" t="s">
        <v>299</v>
      </c>
      <c r="I1051" s="60"/>
      <c r="J1051" s="49">
        <v>1</v>
      </c>
      <c r="K1051" s="45">
        <v>1</v>
      </c>
    </row>
    <row r="1052" spans="1:11" x14ac:dyDescent="0.3">
      <c r="A1052" s="48">
        <v>46036</v>
      </c>
      <c r="B1052" s="42" t="s">
        <v>34</v>
      </c>
      <c r="D1052" s="42" t="s">
        <v>575</v>
      </c>
      <c r="E1052" s="42" t="s">
        <v>209</v>
      </c>
      <c r="F1052" s="44" t="s">
        <v>300</v>
      </c>
      <c r="I1052" s="60"/>
      <c r="J1052" s="49">
        <v>1</v>
      </c>
      <c r="K1052" s="45">
        <v>0.1</v>
      </c>
    </row>
    <row r="1053" spans="1:11" x14ac:dyDescent="0.3">
      <c r="A1053" s="48">
        <v>46036</v>
      </c>
      <c r="B1053" s="42" t="s">
        <v>34</v>
      </c>
      <c r="D1053" s="42" t="s">
        <v>575</v>
      </c>
      <c r="E1053" s="42" t="s">
        <v>209</v>
      </c>
      <c r="F1053" s="44" t="s">
        <v>301</v>
      </c>
      <c r="I1053" s="60"/>
      <c r="J1053" s="49">
        <v>1</v>
      </c>
      <c r="K1053" s="45">
        <v>1</v>
      </c>
    </row>
    <row r="1054" spans="1:11" x14ac:dyDescent="0.3">
      <c r="A1054" s="48">
        <v>46036</v>
      </c>
      <c r="B1054" s="42" t="s">
        <v>34</v>
      </c>
      <c r="D1054" s="42" t="s">
        <v>575</v>
      </c>
      <c r="E1054" s="42" t="s">
        <v>209</v>
      </c>
      <c r="F1054" s="44" t="s">
        <v>302</v>
      </c>
      <c r="I1054" s="60"/>
      <c r="J1054" s="49">
        <v>1</v>
      </c>
      <c r="K1054" s="45">
        <v>1.6</v>
      </c>
    </row>
    <row r="1055" spans="1:11" x14ac:dyDescent="0.3">
      <c r="A1055" s="48">
        <v>46036</v>
      </c>
      <c r="B1055" s="42" t="s">
        <v>34</v>
      </c>
      <c r="D1055" s="42" t="s">
        <v>575</v>
      </c>
      <c r="E1055" s="42" t="s">
        <v>209</v>
      </c>
      <c r="F1055" s="44" t="s">
        <v>303</v>
      </c>
      <c r="I1055" s="60"/>
      <c r="J1055" s="49">
        <v>1</v>
      </c>
      <c r="K1055" s="45">
        <v>1.2</v>
      </c>
    </row>
    <row r="1056" spans="1:11" x14ac:dyDescent="0.3">
      <c r="A1056" s="48">
        <v>46036</v>
      </c>
      <c r="B1056" s="42" t="s">
        <v>34</v>
      </c>
      <c r="D1056" s="42" t="s">
        <v>575</v>
      </c>
      <c r="E1056" s="42" t="s">
        <v>209</v>
      </c>
      <c r="F1056" s="44" t="s">
        <v>304</v>
      </c>
      <c r="I1056" s="60"/>
      <c r="J1056" s="49">
        <v>1</v>
      </c>
      <c r="K1056" s="45">
        <v>0.3</v>
      </c>
    </row>
    <row r="1057" spans="1:11" x14ac:dyDescent="0.3">
      <c r="A1057" s="48">
        <v>46036</v>
      </c>
      <c r="B1057" s="42" t="s">
        <v>34</v>
      </c>
      <c r="D1057" s="42" t="s">
        <v>575</v>
      </c>
      <c r="E1057" s="42" t="s">
        <v>209</v>
      </c>
      <c r="F1057" s="44" t="s">
        <v>305</v>
      </c>
      <c r="I1057" s="60"/>
      <c r="J1057" s="49">
        <v>1</v>
      </c>
      <c r="K1057" s="45">
        <v>1.6</v>
      </c>
    </row>
    <row r="1058" spans="1:11" x14ac:dyDescent="0.3">
      <c r="A1058" s="48">
        <v>46036</v>
      </c>
      <c r="B1058" s="42" t="s">
        <v>34</v>
      </c>
      <c r="D1058" s="42" t="s">
        <v>575</v>
      </c>
      <c r="E1058" s="42" t="s">
        <v>209</v>
      </c>
      <c r="F1058" s="44" t="s">
        <v>306</v>
      </c>
      <c r="I1058" s="60"/>
      <c r="J1058" s="49">
        <v>1</v>
      </c>
      <c r="K1058" s="45">
        <v>0.5</v>
      </c>
    </row>
    <row r="1059" spans="1:11" x14ac:dyDescent="0.3">
      <c r="A1059" s="48">
        <v>46036</v>
      </c>
      <c r="B1059" s="42" t="s">
        <v>34</v>
      </c>
      <c r="D1059" s="42" t="s">
        <v>575</v>
      </c>
      <c r="E1059" s="42" t="s">
        <v>209</v>
      </c>
      <c r="F1059" s="44" t="s">
        <v>307</v>
      </c>
      <c r="I1059" s="60"/>
      <c r="J1059" s="49">
        <v>1</v>
      </c>
      <c r="K1059" s="45">
        <v>0.4</v>
      </c>
    </row>
    <row r="1060" spans="1:11" x14ac:dyDescent="0.3">
      <c r="A1060" s="48">
        <v>46036</v>
      </c>
      <c r="B1060" s="42" t="s">
        <v>34</v>
      </c>
      <c r="D1060" s="42" t="s">
        <v>575</v>
      </c>
      <c r="E1060" s="42" t="s">
        <v>209</v>
      </c>
      <c r="F1060" s="44" t="s">
        <v>308</v>
      </c>
      <c r="I1060" s="60"/>
      <c r="J1060" s="49">
        <v>1</v>
      </c>
      <c r="K1060" s="45">
        <v>1</v>
      </c>
    </row>
    <row r="1061" spans="1:11" x14ac:dyDescent="0.3">
      <c r="A1061" s="48">
        <v>46036</v>
      </c>
      <c r="B1061" s="42" t="s">
        <v>34</v>
      </c>
      <c r="D1061" s="42" t="s">
        <v>575</v>
      </c>
      <c r="E1061" s="42" t="s">
        <v>209</v>
      </c>
      <c r="F1061" s="44" t="s">
        <v>309</v>
      </c>
      <c r="I1061" s="60"/>
      <c r="J1061" s="49">
        <v>1</v>
      </c>
      <c r="K1061" s="45">
        <v>0.5</v>
      </c>
    </row>
    <row r="1062" spans="1:11" x14ac:dyDescent="0.3">
      <c r="A1062" s="48">
        <v>46036</v>
      </c>
      <c r="B1062" s="42" t="s">
        <v>34</v>
      </c>
      <c r="D1062" s="42" t="s">
        <v>575</v>
      </c>
      <c r="E1062" s="42" t="s">
        <v>209</v>
      </c>
      <c r="F1062" s="44" t="s">
        <v>310</v>
      </c>
      <c r="I1062" s="60"/>
      <c r="J1062" s="49">
        <v>1</v>
      </c>
      <c r="K1062" s="45">
        <v>0.4</v>
      </c>
    </row>
    <row r="1063" spans="1:11" x14ac:dyDescent="0.3">
      <c r="A1063" s="48">
        <v>46036</v>
      </c>
      <c r="B1063" s="42" t="s">
        <v>34</v>
      </c>
      <c r="D1063" s="42" t="s">
        <v>575</v>
      </c>
      <c r="E1063" s="42" t="s">
        <v>209</v>
      </c>
      <c r="F1063" s="44" t="s">
        <v>311</v>
      </c>
      <c r="I1063" s="60"/>
      <c r="J1063" s="49">
        <v>1</v>
      </c>
      <c r="K1063" s="45">
        <v>0.4</v>
      </c>
    </row>
    <row r="1064" spans="1:11" x14ac:dyDescent="0.3">
      <c r="A1064" s="48">
        <v>46036</v>
      </c>
      <c r="B1064" s="42" t="s">
        <v>34</v>
      </c>
      <c r="D1064" s="42" t="s">
        <v>575</v>
      </c>
      <c r="E1064" s="42" t="s">
        <v>209</v>
      </c>
      <c r="F1064" s="44" t="s">
        <v>312</v>
      </c>
      <c r="I1064" s="60"/>
      <c r="J1064" s="49">
        <v>1</v>
      </c>
      <c r="K1064" s="45">
        <v>0.4</v>
      </c>
    </row>
    <row r="1065" spans="1:11" x14ac:dyDescent="0.3">
      <c r="A1065" s="48">
        <v>46036</v>
      </c>
      <c r="B1065" s="42" t="s">
        <v>34</v>
      </c>
      <c r="D1065" s="42" t="s">
        <v>575</v>
      </c>
      <c r="E1065" s="42" t="s">
        <v>209</v>
      </c>
      <c r="F1065" s="44" t="s">
        <v>313</v>
      </c>
      <c r="I1065" s="60"/>
      <c r="J1065" s="49">
        <v>1</v>
      </c>
      <c r="K1065" s="45">
        <v>0.2</v>
      </c>
    </row>
    <row r="1066" spans="1:11" x14ac:dyDescent="0.3">
      <c r="A1066" s="48">
        <v>46036</v>
      </c>
      <c r="B1066" s="42" t="s">
        <v>34</v>
      </c>
      <c r="D1066" s="42" t="s">
        <v>575</v>
      </c>
      <c r="E1066" s="42" t="s">
        <v>209</v>
      </c>
      <c r="F1066" s="44" t="s">
        <v>314</v>
      </c>
      <c r="I1066" s="60"/>
      <c r="J1066" s="49">
        <v>1</v>
      </c>
      <c r="K1066" s="45">
        <v>0.7</v>
      </c>
    </row>
    <row r="1067" spans="1:11" x14ac:dyDescent="0.3">
      <c r="A1067" s="48">
        <v>46036</v>
      </c>
      <c r="B1067" s="42" t="s">
        <v>34</v>
      </c>
      <c r="D1067" s="42" t="s">
        <v>575</v>
      </c>
      <c r="E1067" s="42" t="s">
        <v>209</v>
      </c>
      <c r="F1067" s="44" t="s">
        <v>315</v>
      </c>
      <c r="I1067" s="60"/>
      <c r="J1067" s="49">
        <v>1</v>
      </c>
      <c r="K1067" s="45">
        <v>1.1000000000000001</v>
      </c>
    </row>
    <row r="1068" spans="1:11" x14ac:dyDescent="0.3">
      <c r="A1068" s="48">
        <v>46036</v>
      </c>
      <c r="B1068" s="42" t="s">
        <v>34</v>
      </c>
      <c r="D1068" s="42" t="s">
        <v>575</v>
      </c>
      <c r="E1068" s="42" t="s">
        <v>209</v>
      </c>
      <c r="F1068" s="44" t="s">
        <v>316</v>
      </c>
      <c r="I1068" s="60"/>
      <c r="J1068" s="49">
        <v>1</v>
      </c>
      <c r="K1068" s="45">
        <v>2</v>
      </c>
    </row>
    <row r="1069" spans="1:11" x14ac:dyDescent="0.3">
      <c r="A1069" s="48">
        <v>46036</v>
      </c>
      <c r="B1069" s="42" t="s">
        <v>34</v>
      </c>
      <c r="D1069" s="42" t="s">
        <v>575</v>
      </c>
      <c r="E1069" s="42" t="s">
        <v>209</v>
      </c>
      <c r="F1069" s="44" t="s">
        <v>317</v>
      </c>
      <c r="I1069" s="60"/>
      <c r="J1069" s="49">
        <v>1</v>
      </c>
      <c r="K1069" s="45">
        <v>6</v>
      </c>
    </row>
    <row r="1070" spans="1:11" x14ac:dyDescent="0.3">
      <c r="A1070" s="48">
        <v>46036</v>
      </c>
      <c r="B1070" s="42" t="s">
        <v>34</v>
      </c>
      <c r="D1070" s="42" t="s">
        <v>575</v>
      </c>
      <c r="E1070" s="42" t="s">
        <v>209</v>
      </c>
      <c r="F1070" s="44" t="s">
        <v>318</v>
      </c>
      <c r="I1070" s="60"/>
      <c r="J1070" s="49">
        <v>1</v>
      </c>
      <c r="K1070" s="45">
        <v>2.4</v>
      </c>
    </row>
    <row r="1071" spans="1:11" x14ac:dyDescent="0.3">
      <c r="A1071" s="48">
        <v>46036</v>
      </c>
      <c r="B1071" s="42" t="s">
        <v>34</v>
      </c>
      <c r="D1071" s="42" t="s">
        <v>575</v>
      </c>
      <c r="E1071" s="42" t="s">
        <v>209</v>
      </c>
      <c r="F1071" s="44" t="s">
        <v>319</v>
      </c>
      <c r="I1071" s="60"/>
      <c r="J1071" s="49">
        <v>1</v>
      </c>
      <c r="K1071" s="45">
        <v>1</v>
      </c>
    </row>
    <row r="1072" spans="1:11" x14ac:dyDescent="0.3">
      <c r="A1072" s="48">
        <v>46036</v>
      </c>
      <c r="B1072" s="42" t="s">
        <v>34</v>
      </c>
      <c r="D1072" s="42" t="s">
        <v>575</v>
      </c>
      <c r="E1072" s="42" t="s">
        <v>209</v>
      </c>
      <c r="F1072" s="44" t="s">
        <v>320</v>
      </c>
      <c r="I1072" s="60"/>
      <c r="J1072" s="49">
        <v>1</v>
      </c>
      <c r="K1072" s="45">
        <v>0.5</v>
      </c>
    </row>
    <row r="1073" spans="1:12" x14ac:dyDescent="0.3">
      <c r="A1073" s="48">
        <v>46036</v>
      </c>
      <c r="B1073" s="42" t="s">
        <v>34</v>
      </c>
      <c r="D1073" s="42" t="s">
        <v>575</v>
      </c>
      <c r="E1073" s="42" t="s">
        <v>209</v>
      </c>
      <c r="F1073" s="44" t="s">
        <v>321</v>
      </c>
      <c r="I1073" s="60"/>
      <c r="J1073" s="49">
        <v>1</v>
      </c>
      <c r="K1073" s="45">
        <v>2.2999999999999998</v>
      </c>
    </row>
    <row r="1074" spans="1:12" x14ac:dyDescent="0.3">
      <c r="A1074" s="48">
        <v>46036</v>
      </c>
      <c r="B1074" s="42" t="s">
        <v>34</v>
      </c>
      <c r="D1074" s="42" t="s">
        <v>575</v>
      </c>
      <c r="E1074" s="42" t="s">
        <v>209</v>
      </c>
      <c r="F1074" s="44" t="s">
        <v>322</v>
      </c>
      <c r="I1074" s="60"/>
      <c r="J1074" s="49">
        <v>1</v>
      </c>
      <c r="K1074" s="45">
        <v>2.4</v>
      </c>
    </row>
    <row r="1075" spans="1:12" x14ac:dyDescent="0.3">
      <c r="A1075" s="48">
        <v>46036</v>
      </c>
      <c r="B1075" s="42" t="s">
        <v>34</v>
      </c>
      <c r="D1075" s="42" t="s">
        <v>575</v>
      </c>
      <c r="E1075" s="42" t="s">
        <v>209</v>
      </c>
      <c r="F1075" s="44" t="s">
        <v>323</v>
      </c>
      <c r="I1075" s="60"/>
      <c r="J1075" s="49">
        <v>1</v>
      </c>
      <c r="K1075" s="45">
        <v>0.5</v>
      </c>
    </row>
    <row r="1076" spans="1:12" x14ac:dyDescent="0.3">
      <c r="A1076" s="48">
        <v>46036</v>
      </c>
      <c r="B1076" s="42" t="s">
        <v>34</v>
      </c>
      <c r="D1076" s="42" t="s">
        <v>575</v>
      </c>
      <c r="E1076" s="42" t="s">
        <v>209</v>
      </c>
      <c r="F1076" s="44" t="s">
        <v>324</v>
      </c>
      <c r="I1076" s="60"/>
      <c r="J1076" s="49">
        <v>1</v>
      </c>
      <c r="K1076" s="46">
        <v>1.4</v>
      </c>
      <c r="L1076" s="46"/>
    </row>
    <row r="1077" spans="1:12" x14ac:dyDescent="0.3">
      <c r="A1077" s="48">
        <v>46036</v>
      </c>
      <c r="B1077" s="42" t="s">
        <v>34</v>
      </c>
      <c r="D1077" s="42" t="s">
        <v>575</v>
      </c>
      <c r="E1077" s="42" t="s">
        <v>209</v>
      </c>
      <c r="F1077" s="44" t="s">
        <v>325</v>
      </c>
      <c r="I1077" s="60"/>
      <c r="J1077" s="49">
        <v>1</v>
      </c>
      <c r="K1077" s="46">
        <v>1.9</v>
      </c>
      <c r="L1077" s="46"/>
    </row>
    <row r="1078" spans="1:12" x14ac:dyDescent="0.3">
      <c r="A1078" s="48">
        <v>46036</v>
      </c>
      <c r="B1078" s="42" t="s">
        <v>34</v>
      </c>
      <c r="D1078" s="42" t="s">
        <v>575</v>
      </c>
      <c r="E1078" s="42" t="s">
        <v>209</v>
      </c>
      <c r="F1078" s="44" t="s">
        <v>326</v>
      </c>
      <c r="I1078" s="60"/>
      <c r="J1078" s="49">
        <v>1</v>
      </c>
      <c r="K1078" s="45">
        <v>1.8</v>
      </c>
    </row>
    <row r="1079" spans="1:12" x14ac:dyDescent="0.3">
      <c r="A1079" s="48">
        <v>46036</v>
      </c>
      <c r="B1079" s="42" t="s">
        <v>34</v>
      </c>
      <c r="D1079" s="42" t="s">
        <v>575</v>
      </c>
      <c r="E1079" s="42" t="s">
        <v>209</v>
      </c>
      <c r="F1079" s="44" t="s">
        <v>327</v>
      </c>
      <c r="I1079" s="60"/>
      <c r="J1079" s="49">
        <v>1</v>
      </c>
      <c r="K1079" s="45">
        <v>0.5</v>
      </c>
    </row>
    <row r="1080" spans="1:12" x14ac:dyDescent="0.3">
      <c r="A1080" s="48">
        <v>46036</v>
      </c>
      <c r="B1080" s="42" t="s">
        <v>34</v>
      </c>
      <c r="D1080" s="42" t="s">
        <v>575</v>
      </c>
      <c r="E1080" s="42" t="s">
        <v>209</v>
      </c>
      <c r="F1080" s="44" t="s">
        <v>328</v>
      </c>
      <c r="I1080" s="60"/>
      <c r="J1080" s="49">
        <v>1</v>
      </c>
      <c r="K1080" s="45">
        <v>1.4</v>
      </c>
    </row>
    <row r="1081" spans="1:12" x14ac:dyDescent="0.3">
      <c r="A1081" s="48">
        <v>46036</v>
      </c>
      <c r="B1081" s="42" t="s">
        <v>34</v>
      </c>
      <c r="D1081" s="42" t="s">
        <v>575</v>
      </c>
      <c r="E1081" s="42" t="s">
        <v>209</v>
      </c>
      <c r="F1081" s="44" t="s">
        <v>329</v>
      </c>
      <c r="I1081" s="60"/>
      <c r="J1081" s="49">
        <v>1</v>
      </c>
      <c r="K1081" s="45">
        <v>6.7</v>
      </c>
    </row>
    <row r="1082" spans="1:12" x14ac:dyDescent="0.3">
      <c r="A1082" s="48">
        <v>46036</v>
      </c>
      <c r="B1082" s="42" t="s">
        <v>34</v>
      </c>
      <c r="D1082" s="42" t="s">
        <v>575</v>
      </c>
      <c r="E1082" s="42" t="s">
        <v>209</v>
      </c>
      <c r="F1082" s="44" t="s">
        <v>330</v>
      </c>
      <c r="I1082" s="60"/>
      <c r="J1082" s="49">
        <v>1</v>
      </c>
      <c r="K1082" s="45">
        <v>1.5</v>
      </c>
    </row>
    <row r="1083" spans="1:12" x14ac:dyDescent="0.3">
      <c r="A1083" s="48">
        <v>46036</v>
      </c>
      <c r="B1083" s="42" t="s">
        <v>34</v>
      </c>
      <c r="D1083" s="42" t="s">
        <v>575</v>
      </c>
      <c r="E1083" s="42" t="s">
        <v>209</v>
      </c>
      <c r="F1083" s="44" t="s">
        <v>331</v>
      </c>
      <c r="I1083" s="60"/>
      <c r="J1083" s="49">
        <v>1</v>
      </c>
      <c r="K1083" s="45">
        <v>1.5</v>
      </c>
    </row>
    <row r="1084" spans="1:12" x14ac:dyDescent="0.3">
      <c r="A1084" s="48">
        <v>46036</v>
      </c>
      <c r="B1084" s="42" t="s">
        <v>34</v>
      </c>
      <c r="D1084" s="42" t="s">
        <v>575</v>
      </c>
      <c r="E1084" s="42" t="s">
        <v>209</v>
      </c>
      <c r="F1084" s="44" t="s">
        <v>332</v>
      </c>
      <c r="I1084" s="60"/>
      <c r="J1084" s="49">
        <v>1</v>
      </c>
      <c r="K1084" s="45">
        <v>0.8</v>
      </c>
    </row>
    <row r="1085" spans="1:12" x14ac:dyDescent="0.3">
      <c r="A1085" s="48">
        <v>46036</v>
      </c>
      <c r="B1085" s="42" t="s">
        <v>34</v>
      </c>
      <c r="D1085" s="42" t="s">
        <v>575</v>
      </c>
      <c r="E1085" s="42" t="s">
        <v>209</v>
      </c>
      <c r="F1085" s="44" t="s">
        <v>333</v>
      </c>
      <c r="I1085" s="60"/>
      <c r="J1085" s="49">
        <v>1</v>
      </c>
      <c r="K1085" s="45">
        <v>0.7</v>
      </c>
    </row>
    <row r="1086" spans="1:12" x14ac:dyDescent="0.3">
      <c r="A1086" s="48">
        <v>46036</v>
      </c>
      <c r="B1086" s="42" t="s">
        <v>34</v>
      </c>
      <c r="D1086" s="42" t="s">
        <v>575</v>
      </c>
      <c r="E1086" s="42" t="s">
        <v>209</v>
      </c>
      <c r="F1086" s="44" t="s">
        <v>334</v>
      </c>
      <c r="I1086" s="60"/>
      <c r="J1086" s="49">
        <v>1</v>
      </c>
      <c r="K1086" s="45">
        <v>0.1</v>
      </c>
    </row>
    <row r="1087" spans="1:12" x14ac:dyDescent="0.3">
      <c r="A1087" s="48">
        <v>46036</v>
      </c>
      <c r="B1087" s="42" t="s">
        <v>34</v>
      </c>
      <c r="D1087" s="42" t="s">
        <v>575</v>
      </c>
      <c r="E1087" s="42" t="s">
        <v>209</v>
      </c>
      <c r="F1087" s="44" t="s">
        <v>335</v>
      </c>
      <c r="I1087" s="60"/>
      <c r="J1087" s="49">
        <v>1</v>
      </c>
      <c r="K1087" s="45">
        <v>0.9</v>
      </c>
    </row>
    <row r="1088" spans="1:12" x14ac:dyDescent="0.3">
      <c r="A1088" s="48">
        <v>46036</v>
      </c>
      <c r="B1088" s="42" t="s">
        <v>34</v>
      </c>
      <c r="D1088" s="42" t="s">
        <v>575</v>
      </c>
      <c r="E1088" s="42" t="s">
        <v>209</v>
      </c>
      <c r="F1088" s="44" t="s">
        <v>336</v>
      </c>
      <c r="I1088" s="60"/>
      <c r="J1088" s="49">
        <v>1</v>
      </c>
      <c r="K1088" s="45">
        <v>0.7</v>
      </c>
    </row>
    <row r="1089" spans="1:12" x14ac:dyDescent="0.3">
      <c r="A1089" s="48">
        <v>46036</v>
      </c>
      <c r="B1089" s="42" t="s">
        <v>34</v>
      </c>
      <c r="D1089" s="42" t="s">
        <v>575</v>
      </c>
      <c r="E1089" s="42" t="s">
        <v>209</v>
      </c>
      <c r="F1089" s="44" t="s">
        <v>337</v>
      </c>
      <c r="I1089" s="60"/>
      <c r="J1089" s="49">
        <v>1</v>
      </c>
      <c r="K1089" s="45">
        <v>1.5</v>
      </c>
    </row>
    <row r="1090" spans="1:12" x14ac:dyDescent="0.3">
      <c r="A1090" s="48">
        <v>46036</v>
      </c>
      <c r="B1090" s="42" t="s">
        <v>34</v>
      </c>
      <c r="D1090" s="42" t="s">
        <v>575</v>
      </c>
      <c r="E1090" s="42" t="s">
        <v>209</v>
      </c>
      <c r="F1090" s="44" t="s">
        <v>338</v>
      </c>
      <c r="I1090" s="60"/>
      <c r="J1090" s="49">
        <v>1</v>
      </c>
      <c r="K1090" s="45">
        <v>1.2</v>
      </c>
    </row>
    <row r="1091" spans="1:12" x14ac:dyDescent="0.3">
      <c r="A1091" s="48">
        <v>46036</v>
      </c>
      <c r="B1091" s="42" t="s">
        <v>34</v>
      </c>
      <c r="D1091" s="42" t="s">
        <v>575</v>
      </c>
      <c r="E1091" s="42" t="s">
        <v>209</v>
      </c>
      <c r="F1091" s="44" t="s">
        <v>339</v>
      </c>
      <c r="I1091" s="60"/>
      <c r="J1091" s="49">
        <v>1</v>
      </c>
      <c r="K1091" s="45">
        <v>1.6</v>
      </c>
    </row>
    <row r="1092" spans="1:12" x14ac:dyDescent="0.3">
      <c r="A1092" s="48">
        <v>46036</v>
      </c>
      <c r="B1092" s="42" t="s">
        <v>34</v>
      </c>
      <c r="D1092" s="42" t="s">
        <v>575</v>
      </c>
      <c r="E1092" s="42" t="s">
        <v>209</v>
      </c>
      <c r="F1092" s="44" t="s">
        <v>340</v>
      </c>
      <c r="G1092" s="68"/>
      <c r="H1092" s="68"/>
      <c r="I1092" s="59"/>
      <c r="J1092" s="49">
        <v>1</v>
      </c>
      <c r="K1092" s="46">
        <v>1.1000000000000001</v>
      </c>
      <c r="L1092" s="46"/>
    </row>
    <row r="1093" spans="1:12" x14ac:dyDescent="0.3">
      <c r="A1093" s="48">
        <v>46036</v>
      </c>
      <c r="B1093" s="42" t="s">
        <v>34</v>
      </c>
      <c r="D1093" s="42" t="s">
        <v>575</v>
      </c>
      <c r="E1093" s="42" t="s">
        <v>209</v>
      </c>
      <c r="F1093" s="44" t="s">
        <v>341</v>
      </c>
      <c r="I1093" s="60"/>
      <c r="J1093" s="49">
        <v>1</v>
      </c>
      <c r="K1093" s="46">
        <v>0.1</v>
      </c>
      <c r="L1093" s="46"/>
    </row>
    <row r="1094" spans="1:12" x14ac:dyDescent="0.3">
      <c r="A1094" s="48">
        <v>46036</v>
      </c>
      <c r="B1094" s="42" t="s">
        <v>34</v>
      </c>
      <c r="D1094" s="42" t="s">
        <v>575</v>
      </c>
      <c r="E1094" s="42" t="s">
        <v>209</v>
      </c>
      <c r="F1094" s="44" t="s">
        <v>342</v>
      </c>
      <c r="I1094" s="60"/>
      <c r="J1094" s="49">
        <v>1</v>
      </c>
      <c r="K1094" s="46">
        <v>0.1</v>
      </c>
      <c r="L1094" s="46"/>
    </row>
    <row r="1095" spans="1:12" x14ac:dyDescent="0.3">
      <c r="A1095" s="48">
        <v>46036</v>
      </c>
      <c r="B1095" s="42" t="s">
        <v>34</v>
      </c>
      <c r="D1095" s="42" t="s">
        <v>575</v>
      </c>
      <c r="E1095" s="42" t="s">
        <v>209</v>
      </c>
      <c r="F1095" s="44" t="s">
        <v>343</v>
      </c>
      <c r="I1095" s="60"/>
      <c r="J1095" s="49">
        <v>1</v>
      </c>
      <c r="K1095" s="46">
        <v>1.5</v>
      </c>
      <c r="L1095" s="46"/>
    </row>
    <row r="1096" spans="1:12" x14ac:dyDescent="0.3">
      <c r="A1096" s="48">
        <v>46036</v>
      </c>
      <c r="B1096" s="42" t="s">
        <v>34</v>
      </c>
      <c r="D1096" s="42" t="s">
        <v>575</v>
      </c>
      <c r="E1096" s="42" t="s">
        <v>209</v>
      </c>
      <c r="F1096" s="44" t="s">
        <v>344</v>
      </c>
      <c r="I1096" s="60"/>
      <c r="J1096" s="49">
        <v>1</v>
      </c>
      <c r="K1096" s="46">
        <v>1</v>
      </c>
      <c r="L1096" s="46"/>
    </row>
    <row r="1097" spans="1:12" x14ac:dyDescent="0.3">
      <c r="A1097" s="48">
        <v>46036</v>
      </c>
      <c r="B1097" s="42" t="s">
        <v>34</v>
      </c>
      <c r="D1097" s="42" t="s">
        <v>575</v>
      </c>
      <c r="E1097" s="42" t="s">
        <v>209</v>
      </c>
      <c r="F1097" s="44" t="s">
        <v>345</v>
      </c>
      <c r="I1097" s="60"/>
      <c r="J1097" s="49">
        <v>1</v>
      </c>
      <c r="K1097" s="46">
        <v>4</v>
      </c>
      <c r="L1097" s="46"/>
    </row>
    <row r="1098" spans="1:12" x14ac:dyDescent="0.3">
      <c r="A1098" s="48">
        <v>46036</v>
      </c>
      <c r="B1098" s="42" t="s">
        <v>34</v>
      </c>
      <c r="D1098" s="42" t="s">
        <v>575</v>
      </c>
      <c r="E1098" s="42" t="s">
        <v>209</v>
      </c>
      <c r="F1098" s="44" t="s">
        <v>346</v>
      </c>
      <c r="I1098" s="60"/>
      <c r="J1098" s="49">
        <v>1</v>
      </c>
      <c r="K1098" s="45">
        <v>4</v>
      </c>
    </row>
    <row r="1099" spans="1:12" x14ac:dyDescent="0.3">
      <c r="A1099" s="48">
        <v>46036</v>
      </c>
      <c r="B1099" s="42" t="s">
        <v>34</v>
      </c>
      <c r="D1099" s="42" t="s">
        <v>575</v>
      </c>
      <c r="E1099" s="42" t="s">
        <v>209</v>
      </c>
      <c r="F1099" s="44" t="s">
        <v>347</v>
      </c>
      <c r="I1099" s="60"/>
      <c r="J1099" s="49">
        <v>1</v>
      </c>
      <c r="K1099" s="45">
        <v>0.4</v>
      </c>
    </row>
    <row r="1100" spans="1:12" x14ac:dyDescent="0.3">
      <c r="A1100" s="48">
        <v>46036</v>
      </c>
      <c r="B1100" s="42" t="s">
        <v>34</v>
      </c>
      <c r="D1100" s="42" t="s">
        <v>575</v>
      </c>
      <c r="E1100" s="42" t="s">
        <v>209</v>
      </c>
      <c r="F1100" s="44" t="s">
        <v>348</v>
      </c>
      <c r="I1100" s="60"/>
      <c r="J1100" s="49">
        <v>1</v>
      </c>
      <c r="K1100" s="45">
        <v>2.1</v>
      </c>
    </row>
    <row r="1101" spans="1:12" x14ac:dyDescent="0.3">
      <c r="A1101" s="48">
        <v>46036</v>
      </c>
      <c r="B1101" s="42" t="s">
        <v>34</v>
      </c>
      <c r="D1101" s="42" t="s">
        <v>575</v>
      </c>
      <c r="E1101" s="42" t="s">
        <v>209</v>
      </c>
      <c r="F1101" s="44" t="s">
        <v>349</v>
      </c>
      <c r="I1101" s="60"/>
      <c r="J1101" s="49">
        <v>1</v>
      </c>
      <c r="K1101" s="45">
        <v>2.5</v>
      </c>
    </row>
    <row r="1102" spans="1:12" x14ac:dyDescent="0.3">
      <c r="A1102" s="48">
        <v>46036</v>
      </c>
      <c r="B1102" s="42" t="s">
        <v>34</v>
      </c>
      <c r="D1102" s="42" t="s">
        <v>575</v>
      </c>
      <c r="E1102" s="42" t="s">
        <v>209</v>
      </c>
      <c r="F1102" s="44" t="s">
        <v>350</v>
      </c>
      <c r="I1102" s="60"/>
      <c r="J1102" s="49">
        <v>1</v>
      </c>
      <c r="K1102" s="45">
        <v>1.6</v>
      </c>
    </row>
    <row r="1103" spans="1:12" x14ac:dyDescent="0.3">
      <c r="A1103" s="48">
        <v>46036</v>
      </c>
      <c r="B1103" s="42" t="s">
        <v>34</v>
      </c>
      <c r="D1103" s="42" t="s">
        <v>575</v>
      </c>
      <c r="E1103" s="42" t="s">
        <v>209</v>
      </c>
      <c r="F1103" s="44" t="s">
        <v>351</v>
      </c>
      <c r="I1103" s="60"/>
      <c r="J1103" s="49">
        <v>1</v>
      </c>
      <c r="K1103" s="45">
        <v>1.5</v>
      </c>
    </row>
    <row r="1104" spans="1:12" x14ac:dyDescent="0.3">
      <c r="A1104" s="48">
        <v>46036</v>
      </c>
      <c r="B1104" s="42" t="s">
        <v>34</v>
      </c>
      <c r="D1104" s="42" t="s">
        <v>575</v>
      </c>
      <c r="E1104" s="42" t="s">
        <v>209</v>
      </c>
      <c r="F1104" s="44" t="s">
        <v>352</v>
      </c>
      <c r="I1104" s="60"/>
      <c r="J1104" s="49">
        <v>1</v>
      </c>
      <c r="K1104" s="45">
        <v>0.2</v>
      </c>
    </row>
    <row r="1105" spans="1:11" x14ac:dyDescent="0.3">
      <c r="A1105" s="48">
        <v>46036</v>
      </c>
      <c r="B1105" s="42" t="s">
        <v>34</v>
      </c>
      <c r="D1105" s="42" t="s">
        <v>575</v>
      </c>
      <c r="E1105" s="42" t="s">
        <v>209</v>
      </c>
      <c r="F1105" s="44" t="s">
        <v>353</v>
      </c>
      <c r="I1105" s="60"/>
      <c r="J1105" s="49">
        <v>1</v>
      </c>
      <c r="K1105" s="45">
        <v>2</v>
      </c>
    </row>
    <row r="1106" spans="1:11" x14ac:dyDescent="0.3">
      <c r="A1106" s="48">
        <v>46036</v>
      </c>
      <c r="B1106" s="42" t="s">
        <v>34</v>
      </c>
      <c r="D1106" s="42" t="s">
        <v>575</v>
      </c>
      <c r="E1106" s="42" t="s">
        <v>209</v>
      </c>
      <c r="F1106" s="44" t="s">
        <v>354</v>
      </c>
      <c r="I1106" s="60"/>
      <c r="J1106" s="49">
        <v>1</v>
      </c>
      <c r="K1106" s="45">
        <v>2</v>
      </c>
    </row>
    <row r="1107" spans="1:11" x14ac:dyDescent="0.3">
      <c r="A1107" s="48">
        <v>46036</v>
      </c>
      <c r="B1107" s="42" t="s">
        <v>34</v>
      </c>
      <c r="D1107" s="42" t="s">
        <v>575</v>
      </c>
      <c r="E1107" s="42" t="s">
        <v>209</v>
      </c>
      <c r="F1107" s="44" t="s">
        <v>355</v>
      </c>
      <c r="I1107" s="60"/>
      <c r="J1107" s="49">
        <v>1</v>
      </c>
      <c r="K1107" s="45">
        <v>5.5</v>
      </c>
    </row>
    <row r="1108" spans="1:11" x14ac:dyDescent="0.3">
      <c r="A1108" s="48">
        <v>46036</v>
      </c>
      <c r="B1108" s="42" t="s">
        <v>34</v>
      </c>
      <c r="D1108" s="42" t="s">
        <v>575</v>
      </c>
      <c r="E1108" s="42" t="s">
        <v>209</v>
      </c>
      <c r="F1108" s="44" t="s">
        <v>356</v>
      </c>
      <c r="I1108" s="60"/>
      <c r="J1108" s="49">
        <v>1</v>
      </c>
      <c r="K1108" s="45">
        <v>0.4</v>
      </c>
    </row>
    <row r="1109" spans="1:11" x14ac:dyDescent="0.3">
      <c r="A1109" s="48">
        <v>46036</v>
      </c>
      <c r="B1109" s="42" t="s">
        <v>34</v>
      </c>
      <c r="D1109" s="42" t="s">
        <v>575</v>
      </c>
      <c r="E1109" s="42" t="s">
        <v>209</v>
      </c>
      <c r="F1109" s="44" t="s">
        <v>357</v>
      </c>
      <c r="G1109" s="68"/>
      <c r="H1109" s="68"/>
      <c r="I1109" s="59"/>
      <c r="J1109" s="49">
        <v>1</v>
      </c>
      <c r="K1109" s="45">
        <v>0.9</v>
      </c>
    </row>
    <row r="1110" spans="1:11" x14ac:dyDescent="0.3">
      <c r="A1110" s="48">
        <v>46036</v>
      </c>
      <c r="B1110" s="42" t="s">
        <v>34</v>
      </c>
      <c r="D1110" s="42" t="s">
        <v>575</v>
      </c>
      <c r="E1110" s="42" t="s">
        <v>209</v>
      </c>
      <c r="F1110" s="44" t="s">
        <v>358</v>
      </c>
      <c r="I1110" s="60"/>
      <c r="J1110" s="49">
        <v>1</v>
      </c>
      <c r="K1110" s="45">
        <v>0.9</v>
      </c>
    </row>
    <row r="1111" spans="1:11" x14ac:dyDescent="0.3">
      <c r="A1111" s="48">
        <v>46036</v>
      </c>
      <c r="B1111" s="42" t="s">
        <v>34</v>
      </c>
      <c r="D1111" s="42" t="s">
        <v>575</v>
      </c>
      <c r="E1111" s="42" t="s">
        <v>209</v>
      </c>
      <c r="F1111" s="44" t="s">
        <v>359</v>
      </c>
      <c r="I1111" s="60"/>
      <c r="J1111" s="49">
        <v>1</v>
      </c>
      <c r="K1111" s="45">
        <v>2.2000000000000002</v>
      </c>
    </row>
    <row r="1112" spans="1:11" x14ac:dyDescent="0.3">
      <c r="A1112" s="48">
        <v>46036</v>
      </c>
      <c r="B1112" s="42" t="s">
        <v>34</v>
      </c>
      <c r="D1112" s="42" t="s">
        <v>575</v>
      </c>
      <c r="E1112" s="42" t="s">
        <v>209</v>
      </c>
      <c r="F1112" s="44" t="s">
        <v>360</v>
      </c>
      <c r="I1112" s="60"/>
      <c r="J1112" s="49">
        <v>1</v>
      </c>
      <c r="K1112" s="45">
        <v>1.5</v>
      </c>
    </row>
    <row r="1113" spans="1:11" x14ac:dyDescent="0.3">
      <c r="A1113" s="48">
        <v>46036</v>
      </c>
      <c r="B1113" s="42" t="s">
        <v>34</v>
      </c>
      <c r="D1113" s="42" t="s">
        <v>575</v>
      </c>
      <c r="E1113" s="42" t="s">
        <v>209</v>
      </c>
      <c r="F1113" s="44" t="s">
        <v>361</v>
      </c>
      <c r="I1113" s="60"/>
      <c r="J1113" s="49">
        <v>1</v>
      </c>
      <c r="K1113" s="45">
        <v>0.1</v>
      </c>
    </row>
    <row r="1114" spans="1:11" x14ac:dyDescent="0.3">
      <c r="A1114" s="48">
        <v>46036</v>
      </c>
      <c r="B1114" s="42" t="s">
        <v>34</v>
      </c>
      <c r="D1114" s="42" t="s">
        <v>575</v>
      </c>
      <c r="E1114" s="42" t="s">
        <v>209</v>
      </c>
      <c r="F1114" s="44" t="s">
        <v>362</v>
      </c>
      <c r="I1114" s="60"/>
      <c r="J1114" s="49">
        <v>1</v>
      </c>
      <c r="K1114" s="45">
        <v>0.4</v>
      </c>
    </row>
    <row r="1115" spans="1:11" x14ac:dyDescent="0.3">
      <c r="A1115" s="48">
        <v>46036</v>
      </c>
      <c r="B1115" s="42" t="s">
        <v>34</v>
      </c>
      <c r="D1115" s="42" t="s">
        <v>575</v>
      </c>
      <c r="E1115" s="42" t="s">
        <v>209</v>
      </c>
      <c r="F1115" s="44" t="s">
        <v>363</v>
      </c>
      <c r="I1115" s="60"/>
      <c r="J1115" s="49">
        <v>1</v>
      </c>
      <c r="K1115" s="45">
        <v>0.5</v>
      </c>
    </row>
    <row r="1116" spans="1:11" x14ac:dyDescent="0.3">
      <c r="A1116" s="48">
        <v>46036</v>
      </c>
      <c r="B1116" s="42" t="s">
        <v>34</v>
      </c>
      <c r="D1116" s="42" t="s">
        <v>575</v>
      </c>
      <c r="E1116" s="42" t="s">
        <v>209</v>
      </c>
      <c r="F1116" s="44" t="s">
        <v>364</v>
      </c>
      <c r="I1116" s="60"/>
      <c r="J1116" s="49">
        <v>1</v>
      </c>
      <c r="K1116" s="45">
        <v>0.4</v>
      </c>
    </row>
    <row r="1117" spans="1:11" x14ac:dyDescent="0.3">
      <c r="A1117" s="48">
        <v>46036</v>
      </c>
      <c r="B1117" s="42" t="s">
        <v>34</v>
      </c>
      <c r="D1117" s="42" t="s">
        <v>575</v>
      </c>
      <c r="E1117" s="42" t="s">
        <v>209</v>
      </c>
      <c r="F1117" s="44" t="s">
        <v>365</v>
      </c>
      <c r="I1117" s="60"/>
      <c r="J1117" s="49">
        <v>1</v>
      </c>
      <c r="K1117" s="45">
        <v>0.1</v>
      </c>
    </row>
    <row r="1118" spans="1:11" x14ac:dyDescent="0.3">
      <c r="A1118" s="48">
        <v>46036</v>
      </c>
      <c r="B1118" s="42" t="s">
        <v>34</v>
      </c>
      <c r="D1118" s="42" t="s">
        <v>575</v>
      </c>
      <c r="E1118" s="42" t="s">
        <v>209</v>
      </c>
      <c r="F1118" s="44" t="s">
        <v>366</v>
      </c>
      <c r="I1118" s="60"/>
      <c r="J1118" s="49">
        <v>1</v>
      </c>
      <c r="K1118" s="45">
        <v>0.1</v>
      </c>
    </row>
    <row r="1119" spans="1:11" x14ac:dyDescent="0.3">
      <c r="A1119" s="48">
        <v>46036</v>
      </c>
      <c r="B1119" s="42" t="s">
        <v>34</v>
      </c>
      <c r="D1119" s="42" t="s">
        <v>575</v>
      </c>
      <c r="E1119" s="42" t="s">
        <v>209</v>
      </c>
      <c r="F1119" s="44" t="s">
        <v>367</v>
      </c>
      <c r="I1119" s="60"/>
      <c r="J1119" s="49">
        <v>1</v>
      </c>
      <c r="K1119" s="45">
        <v>0.5</v>
      </c>
    </row>
    <row r="1120" spans="1:11" x14ac:dyDescent="0.3">
      <c r="A1120" s="48">
        <v>46036</v>
      </c>
      <c r="B1120" s="42" t="s">
        <v>34</v>
      </c>
      <c r="D1120" s="42" t="s">
        <v>575</v>
      </c>
      <c r="E1120" s="42" t="s">
        <v>209</v>
      </c>
      <c r="F1120" s="44" t="s">
        <v>368</v>
      </c>
      <c r="I1120" s="60"/>
      <c r="J1120" s="49">
        <v>1</v>
      </c>
      <c r="K1120" s="45">
        <v>0.4</v>
      </c>
    </row>
    <row r="1121" spans="1:14" x14ac:dyDescent="0.3">
      <c r="A1121" s="48">
        <v>46036</v>
      </c>
      <c r="B1121" s="42" t="s">
        <v>34</v>
      </c>
      <c r="D1121" s="42" t="s">
        <v>575</v>
      </c>
      <c r="E1121" s="42" t="s">
        <v>209</v>
      </c>
      <c r="F1121" s="44" t="s">
        <v>369</v>
      </c>
      <c r="I1121" s="60"/>
      <c r="J1121" s="49">
        <v>1</v>
      </c>
      <c r="K1121" s="45">
        <v>0.4</v>
      </c>
    </row>
    <row r="1122" spans="1:14" x14ac:dyDescent="0.3">
      <c r="A1122" s="48">
        <v>46036</v>
      </c>
      <c r="B1122" s="42" t="s">
        <v>34</v>
      </c>
      <c r="D1122" s="42" t="s">
        <v>575</v>
      </c>
      <c r="E1122" s="42" t="s">
        <v>209</v>
      </c>
      <c r="F1122" s="44" t="s">
        <v>370</v>
      </c>
      <c r="I1122" s="60"/>
      <c r="J1122" s="49">
        <v>1</v>
      </c>
      <c r="K1122" s="45">
        <v>0.1</v>
      </c>
    </row>
    <row r="1123" spans="1:14" x14ac:dyDescent="0.3">
      <c r="A1123" s="48">
        <v>46036</v>
      </c>
      <c r="B1123" s="42" t="s">
        <v>34</v>
      </c>
      <c r="D1123" s="42" t="s">
        <v>575</v>
      </c>
      <c r="E1123" s="42" t="s">
        <v>209</v>
      </c>
      <c r="F1123" s="44" t="s">
        <v>371</v>
      </c>
      <c r="I1123" s="60"/>
      <c r="J1123" s="49">
        <v>1</v>
      </c>
      <c r="K1123" s="45">
        <v>0.1</v>
      </c>
    </row>
    <row r="1124" spans="1:14" x14ac:dyDescent="0.3">
      <c r="A1124" s="48">
        <v>46036</v>
      </c>
      <c r="B1124" s="42" t="s">
        <v>34</v>
      </c>
      <c r="D1124" s="42" t="s">
        <v>575</v>
      </c>
      <c r="E1124" s="42" t="s">
        <v>209</v>
      </c>
      <c r="F1124" s="44" t="s">
        <v>372</v>
      </c>
      <c r="I1124" s="60"/>
      <c r="J1124" s="49">
        <v>1</v>
      </c>
      <c r="K1124" s="45">
        <v>0.3</v>
      </c>
    </row>
    <row r="1125" spans="1:14" x14ac:dyDescent="0.3">
      <c r="A1125" s="48">
        <v>46036</v>
      </c>
      <c r="B1125" s="42" t="s">
        <v>34</v>
      </c>
      <c r="D1125" s="42" t="s">
        <v>575</v>
      </c>
      <c r="E1125" s="42" t="s">
        <v>209</v>
      </c>
      <c r="F1125" s="44" t="s">
        <v>373</v>
      </c>
      <c r="I1125" s="60"/>
      <c r="J1125" s="49">
        <v>1</v>
      </c>
      <c r="K1125" s="45">
        <v>0.1</v>
      </c>
    </row>
    <row r="1126" spans="1:14" x14ac:dyDescent="0.3">
      <c r="A1126" s="48">
        <v>46036</v>
      </c>
      <c r="B1126" s="42" t="s">
        <v>34</v>
      </c>
      <c r="D1126" s="42" t="s">
        <v>575</v>
      </c>
      <c r="E1126" s="42" t="s">
        <v>209</v>
      </c>
      <c r="F1126" s="44" t="s">
        <v>374</v>
      </c>
      <c r="I1126" s="60"/>
      <c r="J1126" s="49">
        <v>1</v>
      </c>
      <c r="K1126" s="45">
        <v>0.7</v>
      </c>
    </row>
    <row r="1127" spans="1:14" x14ac:dyDescent="0.3">
      <c r="A1127" s="48">
        <v>46036</v>
      </c>
      <c r="B1127" s="42" t="s">
        <v>34</v>
      </c>
      <c r="D1127" s="42" t="s">
        <v>575</v>
      </c>
      <c r="E1127" s="42" t="s">
        <v>209</v>
      </c>
      <c r="F1127" s="44" t="s">
        <v>375</v>
      </c>
      <c r="I1127" s="60"/>
      <c r="J1127" s="49">
        <v>1</v>
      </c>
      <c r="K1127" s="45">
        <v>1</v>
      </c>
    </row>
    <row r="1128" spans="1:14" x14ac:dyDescent="0.3">
      <c r="A1128" s="48">
        <v>46036</v>
      </c>
      <c r="B1128" s="42" t="s">
        <v>34</v>
      </c>
      <c r="D1128" s="42" t="s">
        <v>575</v>
      </c>
      <c r="E1128" s="42" t="s">
        <v>209</v>
      </c>
      <c r="F1128" s="44" t="s">
        <v>376</v>
      </c>
      <c r="I1128" s="60"/>
      <c r="J1128" s="49">
        <v>1</v>
      </c>
      <c r="K1128" s="45">
        <v>0.1</v>
      </c>
    </row>
    <row r="1129" spans="1:14" x14ac:dyDescent="0.3">
      <c r="A1129" s="48">
        <v>46036</v>
      </c>
      <c r="B1129" s="42" t="s">
        <v>34</v>
      </c>
      <c r="D1129" s="42" t="s">
        <v>575</v>
      </c>
      <c r="E1129" s="42" t="s">
        <v>209</v>
      </c>
      <c r="F1129" s="44" t="s">
        <v>377</v>
      </c>
      <c r="I1129" s="60"/>
      <c r="J1129" s="49">
        <v>1</v>
      </c>
      <c r="K1129" s="45">
        <v>0.1</v>
      </c>
    </row>
    <row r="1130" spans="1:14" x14ac:dyDescent="0.3">
      <c r="A1130" s="48">
        <v>46036</v>
      </c>
      <c r="B1130" s="42" t="s">
        <v>34</v>
      </c>
      <c r="D1130" s="42" t="s">
        <v>575</v>
      </c>
      <c r="E1130" s="42" t="s">
        <v>209</v>
      </c>
      <c r="F1130" s="44" t="s">
        <v>378</v>
      </c>
      <c r="I1130" s="60"/>
      <c r="J1130" s="49">
        <v>1</v>
      </c>
      <c r="K1130" s="45">
        <v>2.7</v>
      </c>
      <c r="M1130" s="54"/>
      <c r="N1130" s="54"/>
    </row>
    <row r="1131" spans="1:14" x14ac:dyDescent="0.3">
      <c r="A1131" s="48">
        <v>46036</v>
      </c>
      <c r="B1131" s="42" t="s">
        <v>34</v>
      </c>
      <c r="D1131" s="42" t="s">
        <v>575</v>
      </c>
      <c r="E1131" s="42" t="s">
        <v>209</v>
      </c>
      <c r="F1131" s="44" t="s">
        <v>379</v>
      </c>
      <c r="G1131" s="68"/>
      <c r="H1131" s="68"/>
      <c r="I1131" s="59"/>
      <c r="J1131" s="49">
        <v>1</v>
      </c>
      <c r="K1131" s="45">
        <v>1.1000000000000001</v>
      </c>
      <c r="M1131" s="54"/>
      <c r="N1131" s="54"/>
    </row>
    <row r="1132" spans="1:14" x14ac:dyDescent="0.3">
      <c r="A1132" s="48">
        <v>46036</v>
      </c>
      <c r="B1132" s="42" t="s">
        <v>34</v>
      </c>
      <c r="D1132" s="42" t="s">
        <v>575</v>
      </c>
      <c r="E1132" s="42" t="s">
        <v>209</v>
      </c>
      <c r="F1132" s="44" t="s">
        <v>380</v>
      </c>
      <c r="I1132" s="60"/>
      <c r="J1132" s="49">
        <v>1</v>
      </c>
      <c r="K1132" s="45">
        <v>0.5</v>
      </c>
      <c r="M1132" s="62"/>
      <c r="N1132" s="62"/>
    </row>
    <row r="1133" spans="1:14" x14ac:dyDescent="0.3">
      <c r="A1133" s="48">
        <v>46036</v>
      </c>
      <c r="B1133" s="42" t="s">
        <v>34</v>
      </c>
      <c r="D1133" s="42" t="s">
        <v>575</v>
      </c>
      <c r="E1133" s="42" t="s">
        <v>209</v>
      </c>
      <c r="F1133" s="44" t="s">
        <v>381</v>
      </c>
      <c r="I1133" s="60"/>
      <c r="J1133" s="49">
        <v>1</v>
      </c>
      <c r="K1133" s="45">
        <v>0.8</v>
      </c>
    </row>
    <row r="1134" spans="1:14" x14ac:dyDescent="0.3">
      <c r="A1134" s="48">
        <v>46036</v>
      </c>
      <c r="B1134" s="42" t="s">
        <v>34</v>
      </c>
      <c r="D1134" s="42" t="s">
        <v>575</v>
      </c>
      <c r="E1134" s="42" t="s">
        <v>209</v>
      </c>
      <c r="F1134" s="44" t="s">
        <v>382</v>
      </c>
      <c r="I1134" s="60"/>
      <c r="J1134" s="49">
        <v>1</v>
      </c>
      <c r="K1134" s="45">
        <v>1.1000000000000001</v>
      </c>
    </row>
    <row r="1135" spans="1:14" x14ac:dyDescent="0.3">
      <c r="A1135" s="48">
        <v>46036</v>
      </c>
      <c r="B1135" s="42" t="s">
        <v>34</v>
      </c>
      <c r="D1135" s="42" t="s">
        <v>575</v>
      </c>
      <c r="E1135" s="42" t="s">
        <v>209</v>
      </c>
      <c r="F1135" s="44" t="s">
        <v>383</v>
      </c>
      <c r="I1135" s="60"/>
      <c r="J1135" s="49">
        <v>1</v>
      </c>
      <c r="K1135" s="45">
        <v>0.6</v>
      </c>
    </row>
    <row r="1136" spans="1:14" x14ac:dyDescent="0.3">
      <c r="A1136" s="48">
        <v>46036</v>
      </c>
      <c r="B1136" s="42" t="s">
        <v>34</v>
      </c>
      <c r="D1136" s="42" t="s">
        <v>575</v>
      </c>
      <c r="E1136" s="42" t="s">
        <v>209</v>
      </c>
      <c r="F1136" s="44" t="s">
        <v>384</v>
      </c>
      <c r="I1136" s="60"/>
      <c r="J1136" s="49">
        <v>1</v>
      </c>
      <c r="K1136" s="45">
        <v>6.7</v>
      </c>
    </row>
    <row r="1137" spans="1:11" x14ac:dyDescent="0.3">
      <c r="A1137" s="48">
        <v>46036</v>
      </c>
      <c r="B1137" s="42" t="s">
        <v>34</v>
      </c>
      <c r="D1137" s="42" t="s">
        <v>575</v>
      </c>
      <c r="E1137" s="42" t="s">
        <v>209</v>
      </c>
      <c r="F1137" s="44" t="s">
        <v>385</v>
      </c>
      <c r="I1137" s="60"/>
      <c r="J1137" s="49">
        <v>1</v>
      </c>
      <c r="K1137" s="45">
        <v>0.1</v>
      </c>
    </row>
    <row r="1138" spans="1:11" x14ac:dyDescent="0.3">
      <c r="A1138" s="48">
        <v>46036</v>
      </c>
      <c r="B1138" s="42" t="s">
        <v>34</v>
      </c>
      <c r="D1138" s="42" t="s">
        <v>575</v>
      </c>
      <c r="E1138" s="42" t="s">
        <v>209</v>
      </c>
      <c r="F1138" s="44" t="s">
        <v>386</v>
      </c>
      <c r="I1138" s="60"/>
      <c r="J1138" s="49">
        <v>1</v>
      </c>
      <c r="K1138" s="45">
        <v>1.4</v>
      </c>
    </row>
    <row r="1139" spans="1:11" x14ac:dyDescent="0.3">
      <c r="A1139" s="48">
        <v>46036</v>
      </c>
      <c r="B1139" s="42" t="s">
        <v>34</v>
      </c>
      <c r="D1139" s="42" t="s">
        <v>575</v>
      </c>
      <c r="E1139" s="42" t="s">
        <v>209</v>
      </c>
      <c r="F1139" s="44" t="s">
        <v>387</v>
      </c>
      <c r="I1139" s="60"/>
      <c r="J1139" s="49">
        <v>1</v>
      </c>
      <c r="K1139" s="45">
        <v>0.1</v>
      </c>
    </row>
    <row r="1140" spans="1:11" x14ac:dyDescent="0.3">
      <c r="A1140" s="48">
        <v>46036</v>
      </c>
      <c r="B1140" s="42" t="s">
        <v>34</v>
      </c>
      <c r="D1140" s="42" t="s">
        <v>575</v>
      </c>
      <c r="E1140" s="42" t="s">
        <v>209</v>
      </c>
      <c r="F1140" s="44" t="s">
        <v>388</v>
      </c>
      <c r="I1140" s="60"/>
      <c r="J1140" s="49">
        <v>1</v>
      </c>
      <c r="K1140" s="45">
        <v>0.1</v>
      </c>
    </row>
    <row r="1141" spans="1:11" x14ac:dyDescent="0.3">
      <c r="A1141" s="48">
        <v>46036</v>
      </c>
      <c r="B1141" s="42" t="s">
        <v>34</v>
      </c>
      <c r="D1141" s="42" t="s">
        <v>575</v>
      </c>
      <c r="E1141" s="42" t="s">
        <v>209</v>
      </c>
      <c r="F1141" s="44" t="s">
        <v>389</v>
      </c>
      <c r="I1141" s="60"/>
      <c r="J1141" s="49">
        <v>1</v>
      </c>
      <c r="K1141" s="45">
        <v>6.7</v>
      </c>
    </row>
    <row r="1142" spans="1:11" x14ac:dyDescent="0.3">
      <c r="A1142" s="48">
        <v>46036</v>
      </c>
      <c r="B1142" s="42" t="s">
        <v>34</v>
      </c>
      <c r="D1142" s="42" t="s">
        <v>575</v>
      </c>
      <c r="E1142" s="42" t="s">
        <v>209</v>
      </c>
      <c r="F1142" s="44" t="s">
        <v>390</v>
      </c>
      <c r="I1142" s="60"/>
      <c r="J1142" s="49">
        <v>1</v>
      </c>
      <c r="K1142" s="45">
        <v>0.1</v>
      </c>
    </row>
    <row r="1143" spans="1:11" x14ac:dyDescent="0.3">
      <c r="A1143" s="48">
        <v>46036</v>
      </c>
      <c r="B1143" s="42" t="s">
        <v>34</v>
      </c>
      <c r="D1143" s="42" t="s">
        <v>575</v>
      </c>
      <c r="E1143" s="42" t="s">
        <v>209</v>
      </c>
      <c r="F1143" s="44" t="s">
        <v>391</v>
      </c>
      <c r="I1143" s="60"/>
      <c r="J1143" s="49">
        <v>1</v>
      </c>
      <c r="K1143" s="45">
        <v>0.8</v>
      </c>
    </row>
    <row r="1144" spans="1:11" x14ac:dyDescent="0.3">
      <c r="A1144" s="48">
        <v>46036</v>
      </c>
      <c r="B1144" s="42" t="s">
        <v>34</v>
      </c>
      <c r="D1144" s="42" t="s">
        <v>575</v>
      </c>
      <c r="E1144" s="42" t="s">
        <v>209</v>
      </c>
      <c r="F1144" s="44" t="s">
        <v>392</v>
      </c>
      <c r="I1144" s="60"/>
      <c r="J1144" s="49">
        <v>1</v>
      </c>
      <c r="K1144" s="45">
        <v>2.2000000000000002</v>
      </c>
    </row>
    <row r="1145" spans="1:11" x14ac:dyDescent="0.3">
      <c r="A1145" s="48">
        <v>46036</v>
      </c>
      <c r="B1145" s="42" t="s">
        <v>34</v>
      </c>
      <c r="D1145" s="42" t="s">
        <v>575</v>
      </c>
      <c r="E1145" s="42" t="s">
        <v>209</v>
      </c>
      <c r="F1145" s="44" t="s">
        <v>393</v>
      </c>
      <c r="I1145" s="60"/>
      <c r="J1145" s="49">
        <v>1</v>
      </c>
      <c r="K1145" s="45">
        <v>1.3</v>
      </c>
    </row>
    <row r="1146" spans="1:11" x14ac:dyDescent="0.3">
      <c r="A1146" s="48">
        <v>46036</v>
      </c>
      <c r="B1146" s="42" t="s">
        <v>34</v>
      </c>
      <c r="D1146" s="42" t="s">
        <v>575</v>
      </c>
      <c r="E1146" s="42" t="s">
        <v>209</v>
      </c>
      <c r="F1146" s="44" t="s">
        <v>394</v>
      </c>
      <c r="I1146" s="60"/>
      <c r="J1146" s="49">
        <v>1</v>
      </c>
      <c r="K1146" s="45">
        <v>1.6</v>
      </c>
    </row>
    <row r="1147" spans="1:11" x14ac:dyDescent="0.3">
      <c r="A1147" s="48">
        <v>46036</v>
      </c>
      <c r="B1147" s="42" t="s">
        <v>34</v>
      </c>
      <c r="D1147" s="42" t="s">
        <v>575</v>
      </c>
      <c r="E1147" s="42" t="s">
        <v>209</v>
      </c>
      <c r="F1147" s="44" t="s">
        <v>395</v>
      </c>
      <c r="I1147" s="60"/>
      <c r="J1147" s="49">
        <v>1</v>
      </c>
      <c r="K1147" s="45">
        <v>2.1</v>
      </c>
    </row>
    <row r="1148" spans="1:11" x14ac:dyDescent="0.3">
      <c r="A1148" s="48">
        <v>46036</v>
      </c>
      <c r="B1148" s="42" t="s">
        <v>34</v>
      </c>
      <c r="D1148" s="42" t="s">
        <v>575</v>
      </c>
      <c r="E1148" s="42" t="s">
        <v>209</v>
      </c>
      <c r="F1148" s="44" t="s">
        <v>396</v>
      </c>
      <c r="I1148" s="60"/>
      <c r="J1148" s="49">
        <v>1</v>
      </c>
      <c r="K1148" s="45">
        <v>1.7</v>
      </c>
    </row>
    <row r="1149" spans="1:11" x14ac:dyDescent="0.3">
      <c r="A1149" s="48">
        <v>46036</v>
      </c>
      <c r="B1149" s="42" t="s">
        <v>34</v>
      </c>
      <c r="D1149" s="42" t="s">
        <v>575</v>
      </c>
      <c r="E1149" s="42" t="s">
        <v>209</v>
      </c>
      <c r="F1149" s="44" t="s">
        <v>397</v>
      </c>
      <c r="I1149" s="60"/>
      <c r="J1149" s="49">
        <v>1</v>
      </c>
      <c r="K1149" s="45">
        <v>1</v>
      </c>
    </row>
    <row r="1150" spans="1:11" x14ac:dyDescent="0.3">
      <c r="A1150" s="48">
        <v>46036</v>
      </c>
      <c r="B1150" s="42" t="s">
        <v>34</v>
      </c>
      <c r="D1150" s="42" t="s">
        <v>575</v>
      </c>
      <c r="E1150" s="42" t="s">
        <v>209</v>
      </c>
      <c r="F1150" s="44" t="s">
        <v>398</v>
      </c>
      <c r="I1150" s="60"/>
      <c r="J1150" s="49">
        <v>1</v>
      </c>
      <c r="K1150" s="45">
        <v>0.9</v>
      </c>
    </row>
    <row r="1151" spans="1:11" x14ac:dyDescent="0.3">
      <c r="A1151" s="48">
        <v>46036</v>
      </c>
      <c r="B1151" s="42" t="s">
        <v>34</v>
      </c>
      <c r="D1151" s="42" t="s">
        <v>575</v>
      </c>
      <c r="E1151" s="42" t="s">
        <v>209</v>
      </c>
      <c r="F1151" s="44" t="s">
        <v>399</v>
      </c>
      <c r="I1151" s="60"/>
      <c r="J1151" s="49">
        <v>1</v>
      </c>
      <c r="K1151" s="45">
        <v>1.2</v>
      </c>
    </row>
    <row r="1152" spans="1:11" x14ac:dyDescent="0.3">
      <c r="A1152" s="48">
        <v>46036</v>
      </c>
      <c r="B1152" s="42" t="s">
        <v>34</v>
      </c>
      <c r="D1152" s="42" t="s">
        <v>575</v>
      </c>
      <c r="E1152" s="42" t="s">
        <v>209</v>
      </c>
      <c r="F1152" s="44" t="s">
        <v>400</v>
      </c>
      <c r="I1152" s="60"/>
      <c r="J1152" s="49">
        <v>1</v>
      </c>
      <c r="K1152" s="45">
        <v>0.4</v>
      </c>
    </row>
    <row r="1153" spans="1:11" x14ac:dyDescent="0.3">
      <c r="A1153" s="48">
        <v>46036</v>
      </c>
      <c r="B1153" s="42" t="s">
        <v>34</v>
      </c>
      <c r="D1153" s="42" t="s">
        <v>575</v>
      </c>
      <c r="E1153" s="42" t="s">
        <v>209</v>
      </c>
      <c r="F1153" s="44" t="s">
        <v>401</v>
      </c>
      <c r="I1153" s="60"/>
      <c r="J1153" s="49">
        <v>1</v>
      </c>
      <c r="K1153" s="45">
        <v>0.5</v>
      </c>
    </row>
    <row r="1154" spans="1:11" x14ac:dyDescent="0.3">
      <c r="A1154" s="48">
        <v>46036</v>
      </c>
      <c r="B1154" s="42" t="s">
        <v>34</v>
      </c>
      <c r="D1154" s="42" t="s">
        <v>575</v>
      </c>
      <c r="E1154" s="42" t="s">
        <v>209</v>
      </c>
      <c r="F1154" s="44" t="s">
        <v>402</v>
      </c>
      <c r="I1154" s="60"/>
      <c r="J1154" s="49">
        <v>1</v>
      </c>
      <c r="K1154" s="45">
        <v>0.6</v>
      </c>
    </row>
    <row r="1155" spans="1:11" x14ac:dyDescent="0.3">
      <c r="A1155" s="48">
        <v>46036</v>
      </c>
      <c r="B1155" s="42" t="s">
        <v>34</v>
      </c>
      <c r="D1155" s="42" t="s">
        <v>575</v>
      </c>
      <c r="E1155" s="42" t="s">
        <v>209</v>
      </c>
      <c r="F1155" s="44" t="s">
        <v>403</v>
      </c>
      <c r="I1155" s="60"/>
      <c r="J1155" s="49">
        <v>1</v>
      </c>
      <c r="K1155" s="45">
        <v>0.5</v>
      </c>
    </row>
    <row r="1156" spans="1:11" x14ac:dyDescent="0.3">
      <c r="A1156" s="48">
        <v>46036</v>
      </c>
      <c r="B1156" s="42" t="s">
        <v>34</v>
      </c>
      <c r="D1156" s="42" t="s">
        <v>575</v>
      </c>
      <c r="E1156" s="42" t="s">
        <v>209</v>
      </c>
      <c r="F1156" s="44" t="s">
        <v>404</v>
      </c>
      <c r="I1156" s="60"/>
      <c r="J1156" s="49">
        <v>1</v>
      </c>
      <c r="K1156" s="45">
        <v>0.4</v>
      </c>
    </row>
    <row r="1157" spans="1:11" x14ac:dyDescent="0.3">
      <c r="A1157" s="48">
        <v>46036</v>
      </c>
      <c r="B1157" s="42" t="s">
        <v>34</v>
      </c>
      <c r="D1157" s="42" t="s">
        <v>575</v>
      </c>
      <c r="E1157" s="42" t="s">
        <v>209</v>
      </c>
      <c r="F1157" s="44" t="s">
        <v>405</v>
      </c>
      <c r="I1157" s="60"/>
      <c r="J1157" s="49">
        <v>1</v>
      </c>
      <c r="K1157" s="45">
        <v>0.5</v>
      </c>
    </row>
    <row r="1158" spans="1:11" x14ac:dyDescent="0.3">
      <c r="A1158" s="48">
        <v>46036</v>
      </c>
      <c r="B1158" s="42" t="s">
        <v>34</v>
      </c>
      <c r="D1158" s="42" t="s">
        <v>575</v>
      </c>
      <c r="E1158" s="42" t="s">
        <v>209</v>
      </c>
      <c r="F1158" s="44" t="s">
        <v>406</v>
      </c>
      <c r="I1158" s="60"/>
      <c r="J1158" s="49">
        <v>1</v>
      </c>
      <c r="K1158" s="45">
        <v>0.7</v>
      </c>
    </row>
    <row r="1159" spans="1:11" x14ac:dyDescent="0.3">
      <c r="A1159" s="48">
        <v>46036</v>
      </c>
      <c r="B1159" s="42" t="s">
        <v>34</v>
      </c>
      <c r="D1159" s="42" t="s">
        <v>575</v>
      </c>
      <c r="E1159" s="42" t="s">
        <v>209</v>
      </c>
      <c r="F1159" s="44" t="s">
        <v>407</v>
      </c>
      <c r="I1159" s="60"/>
      <c r="J1159" s="49">
        <v>1</v>
      </c>
      <c r="K1159" s="45">
        <v>0.4</v>
      </c>
    </row>
    <row r="1160" spans="1:11" x14ac:dyDescent="0.3">
      <c r="A1160" s="48">
        <v>46036</v>
      </c>
      <c r="B1160" s="42" t="s">
        <v>34</v>
      </c>
      <c r="D1160" s="42" t="s">
        <v>575</v>
      </c>
      <c r="E1160" s="42" t="s">
        <v>209</v>
      </c>
      <c r="F1160" s="44" t="s">
        <v>408</v>
      </c>
      <c r="I1160" s="60"/>
      <c r="J1160" s="49">
        <v>1</v>
      </c>
      <c r="K1160" s="45">
        <v>0.9</v>
      </c>
    </row>
    <row r="1161" spans="1:11" x14ac:dyDescent="0.3">
      <c r="A1161" s="48">
        <v>46036</v>
      </c>
      <c r="B1161" s="42" t="s">
        <v>34</v>
      </c>
      <c r="D1161" s="42" t="s">
        <v>575</v>
      </c>
      <c r="E1161" s="42" t="s">
        <v>209</v>
      </c>
      <c r="F1161" s="44" t="s">
        <v>409</v>
      </c>
      <c r="I1161" s="60"/>
      <c r="J1161" s="49">
        <v>1</v>
      </c>
      <c r="K1161" s="45">
        <v>0.6</v>
      </c>
    </row>
    <row r="1162" spans="1:11" x14ac:dyDescent="0.3">
      <c r="A1162" s="48">
        <v>46036</v>
      </c>
      <c r="B1162" s="42" t="s">
        <v>34</v>
      </c>
      <c r="D1162" s="42" t="s">
        <v>575</v>
      </c>
      <c r="E1162" s="42" t="s">
        <v>209</v>
      </c>
      <c r="F1162" s="44" t="s">
        <v>410</v>
      </c>
      <c r="I1162" s="60"/>
      <c r="J1162" s="49">
        <v>1</v>
      </c>
      <c r="K1162" s="45">
        <v>0.4</v>
      </c>
    </row>
    <row r="1163" spans="1:11" x14ac:dyDescent="0.3">
      <c r="A1163" s="48">
        <v>46036</v>
      </c>
      <c r="B1163" s="42" t="s">
        <v>34</v>
      </c>
      <c r="D1163" s="42" t="s">
        <v>575</v>
      </c>
      <c r="E1163" s="42" t="s">
        <v>209</v>
      </c>
      <c r="F1163" s="44" t="s">
        <v>411</v>
      </c>
      <c r="I1163" s="60"/>
      <c r="J1163" s="49">
        <v>1</v>
      </c>
      <c r="K1163" s="45">
        <v>0.2</v>
      </c>
    </row>
    <row r="1164" spans="1:11" x14ac:dyDescent="0.3">
      <c r="A1164" s="48">
        <v>46036</v>
      </c>
      <c r="B1164" s="42" t="s">
        <v>34</v>
      </c>
      <c r="D1164" s="42" t="s">
        <v>575</v>
      </c>
      <c r="E1164" s="42" t="s">
        <v>209</v>
      </c>
      <c r="F1164" s="44" t="s">
        <v>412</v>
      </c>
      <c r="I1164" s="60"/>
      <c r="J1164" s="49">
        <v>1</v>
      </c>
      <c r="K1164" s="45">
        <v>1</v>
      </c>
    </row>
    <row r="1165" spans="1:11" x14ac:dyDescent="0.3">
      <c r="A1165" s="48">
        <v>46036</v>
      </c>
      <c r="B1165" s="42" t="s">
        <v>34</v>
      </c>
      <c r="D1165" s="42" t="s">
        <v>575</v>
      </c>
      <c r="E1165" s="42" t="s">
        <v>209</v>
      </c>
      <c r="F1165" s="44" t="s">
        <v>413</v>
      </c>
      <c r="I1165" s="60"/>
      <c r="J1165" s="49">
        <v>1</v>
      </c>
      <c r="K1165" s="45">
        <v>0.9</v>
      </c>
    </row>
    <row r="1166" spans="1:11" x14ac:dyDescent="0.3">
      <c r="A1166" s="48">
        <v>46036</v>
      </c>
      <c r="B1166" s="42" t="s">
        <v>34</v>
      </c>
      <c r="D1166" s="42" t="s">
        <v>575</v>
      </c>
      <c r="E1166" s="42" t="s">
        <v>209</v>
      </c>
      <c r="F1166" s="44" t="s">
        <v>414</v>
      </c>
      <c r="I1166" s="60"/>
      <c r="J1166" s="49">
        <v>1</v>
      </c>
      <c r="K1166" s="45">
        <v>0.6</v>
      </c>
    </row>
    <row r="1167" spans="1:11" x14ac:dyDescent="0.3">
      <c r="A1167" s="48">
        <v>46036</v>
      </c>
      <c r="B1167" s="42" t="s">
        <v>34</v>
      </c>
      <c r="D1167" s="42" t="s">
        <v>575</v>
      </c>
      <c r="E1167" s="42" t="s">
        <v>209</v>
      </c>
      <c r="F1167" s="44" t="s">
        <v>415</v>
      </c>
      <c r="I1167" s="60"/>
      <c r="J1167" s="49">
        <v>1</v>
      </c>
      <c r="K1167" s="45">
        <v>0.7</v>
      </c>
    </row>
    <row r="1168" spans="1:11" x14ac:dyDescent="0.3">
      <c r="A1168" s="48">
        <v>46036</v>
      </c>
      <c r="B1168" s="42" t="s">
        <v>34</v>
      </c>
      <c r="D1168" s="42" t="s">
        <v>575</v>
      </c>
      <c r="E1168" s="42" t="s">
        <v>209</v>
      </c>
      <c r="F1168" s="44" t="s">
        <v>416</v>
      </c>
      <c r="I1168" s="60"/>
      <c r="J1168" s="49">
        <v>1</v>
      </c>
      <c r="K1168" s="45">
        <v>0.3</v>
      </c>
    </row>
    <row r="1169" spans="1:11" x14ac:dyDescent="0.3">
      <c r="A1169" s="48">
        <v>46036</v>
      </c>
      <c r="B1169" s="42" t="s">
        <v>34</v>
      </c>
      <c r="D1169" s="42" t="s">
        <v>575</v>
      </c>
      <c r="E1169" s="42" t="s">
        <v>209</v>
      </c>
      <c r="F1169" s="44" t="s">
        <v>417</v>
      </c>
      <c r="I1169" s="60"/>
      <c r="J1169" s="49">
        <v>1</v>
      </c>
      <c r="K1169" s="45">
        <v>1</v>
      </c>
    </row>
    <row r="1170" spans="1:11" x14ac:dyDescent="0.3">
      <c r="A1170" s="48">
        <v>46036</v>
      </c>
      <c r="B1170" s="42" t="s">
        <v>34</v>
      </c>
      <c r="D1170" s="42" t="s">
        <v>575</v>
      </c>
      <c r="E1170" s="42" t="s">
        <v>209</v>
      </c>
      <c r="F1170" s="44" t="s">
        <v>418</v>
      </c>
      <c r="I1170" s="60"/>
      <c r="J1170" s="49">
        <v>1</v>
      </c>
      <c r="K1170" s="45">
        <v>2.2000000000000002</v>
      </c>
    </row>
    <row r="1171" spans="1:11" x14ac:dyDescent="0.3">
      <c r="A1171" s="48">
        <v>46036</v>
      </c>
      <c r="B1171" s="42" t="s">
        <v>34</v>
      </c>
      <c r="D1171" s="42" t="s">
        <v>575</v>
      </c>
      <c r="E1171" s="42" t="s">
        <v>209</v>
      </c>
      <c r="F1171" s="44" t="s">
        <v>419</v>
      </c>
      <c r="I1171" s="60"/>
      <c r="J1171" s="49">
        <v>1</v>
      </c>
      <c r="K1171" s="45">
        <v>1.9</v>
      </c>
    </row>
    <row r="1172" spans="1:11" x14ac:dyDescent="0.3">
      <c r="A1172" s="48">
        <v>46036</v>
      </c>
      <c r="B1172" s="42" t="s">
        <v>34</v>
      </c>
      <c r="D1172" s="42" t="s">
        <v>575</v>
      </c>
      <c r="E1172" s="42" t="s">
        <v>209</v>
      </c>
      <c r="F1172" s="44" t="s">
        <v>420</v>
      </c>
      <c r="I1172" s="60"/>
      <c r="J1172" s="49">
        <v>1</v>
      </c>
      <c r="K1172" s="45">
        <v>0.8</v>
      </c>
    </row>
    <row r="1173" spans="1:11" x14ac:dyDescent="0.3">
      <c r="A1173" s="48">
        <v>46036</v>
      </c>
      <c r="B1173" s="42" t="s">
        <v>34</v>
      </c>
      <c r="D1173" s="42" t="s">
        <v>575</v>
      </c>
      <c r="E1173" s="42" t="s">
        <v>209</v>
      </c>
      <c r="F1173" s="44" t="s">
        <v>421</v>
      </c>
      <c r="I1173" s="60"/>
      <c r="J1173" s="49">
        <v>1</v>
      </c>
      <c r="K1173" s="45">
        <v>2.1</v>
      </c>
    </row>
    <row r="1174" spans="1:11" x14ac:dyDescent="0.3">
      <c r="A1174" s="48">
        <v>46036</v>
      </c>
      <c r="B1174" s="42" t="s">
        <v>34</v>
      </c>
      <c r="D1174" s="42" t="s">
        <v>575</v>
      </c>
      <c r="E1174" s="42" t="s">
        <v>209</v>
      </c>
      <c r="F1174" s="44" t="s">
        <v>422</v>
      </c>
      <c r="I1174" s="60"/>
      <c r="J1174" s="49">
        <v>1</v>
      </c>
      <c r="K1174" s="45">
        <v>2.1</v>
      </c>
    </row>
    <row r="1175" spans="1:11" x14ac:dyDescent="0.3">
      <c r="A1175" s="48">
        <v>46036</v>
      </c>
      <c r="B1175" s="42" t="s">
        <v>34</v>
      </c>
      <c r="D1175" s="42" t="s">
        <v>575</v>
      </c>
      <c r="E1175" s="42" t="s">
        <v>209</v>
      </c>
      <c r="F1175" s="44" t="s">
        <v>423</v>
      </c>
      <c r="I1175" s="60"/>
      <c r="J1175" s="49">
        <v>1</v>
      </c>
      <c r="K1175" s="45">
        <v>1.9</v>
      </c>
    </row>
    <row r="1176" spans="1:11" x14ac:dyDescent="0.3">
      <c r="A1176" s="48">
        <v>46036</v>
      </c>
      <c r="B1176" s="42" t="s">
        <v>34</v>
      </c>
      <c r="D1176" s="42" t="s">
        <v>575</v>
      </c>
      <c r="E1176" s="42" t="s">
        <v>209</v>
      </c>
      <c r="F1176" s="44" t="s">
        <v>424</v>
      </c>
      <c r="I1176" s="60"/>
      <c r="J1176" s="49">
        <v>1</v>
      </c>
      <c r="K1176" s="45">
        <v>0.6</v>
      </c>
    </row>
    <row r="1177" spans="1:11" x14ac:dyDescent="0.3">
      <c r="A1177" s="48">
        <v>46036</v>
      </c>
      <c r="B1177" s="42" t="s">
        <v>34</v>
      </c>
      <c r="D1177" s="42" t="s">
        <v>575</v>
      </c>
      <c r="E1177" s="42" t="s">
        <v>209</v>
      </c>
      <c r="F1177" s="44" t="s">
        <v>425</v>
      </c>
      <c r="I1177" s="60"/>
      <c r="J1177" s="49">
        <v>1</v>
      </c>
      <c r="K1177" s="45">
        <v>1.4</v>
      </c>
    </row>
    <row r="1178" spans="1:11" x14ac:dyDescent="0.3">
      <c r="A1178" s="48">
        <v>46036</v>
      </c>
      <c r="B1178" s="42" t="s">
        <v>34</v>
      </c>
      <c r="D1178" s="42" t="s">
        <v>575</v>
      </c>
      <c r="E1178" s="42" t="s">
        <v>209</v>
      </c>
      <c r="F1178" s="44" t="s">
        <v>426</v>
      </c>
      <c r="I1178" s="60"/>
      <c r="J1178" s="49">
        <v>1</v>
      </c>
      <c r="K1178" s="45">
        <v>0.6</v>
      </c>
    </row>
    <row r="1179" spans="1:11" x14ac:dyDescent="0.3">
      <c r="A1179" s="48">
        <v>46036</v>
      </c>
      <c r="B1179" s="42" t="s">
        <v>34</v>
      </c>
      <c r="D1179" s="42" t="s">
        <v>575</v>
      </c>
      <c r="E1179" s="42" t="s">
        <v>209</v>
      </c>
      <c r="F1179" s="44" t="s">
        <v>427</v>
      </c>
      <c r="I1179" s="60"/>
      <c r="J1179" s="49">
        <v>1</v>
      </c>
      <c r="K1179" s="45">
        <v>1.4</v>
      </c>
    </row>
    <row r="1180" spans="1:11" x14ac:dyDescent="0.3">
      <c r="A1180" s="48">
        <v>46036</v>
      </c>
      <c r="B1180" s="42" t="s">
        <v>34</v>
      </c>
      <c r="D1180" s="42" t="s">
        <v>575</v>
      </c>
      <c r="E1180" s="42" t="s">
        <v>209</v>
      </c>
      <c r="F1180" s="44" t="s">
        <v>428</v>
      </c>
      <c r="I1180" s="60"/>
      <c r="J1180" s="49">
        <v>1</v>
      </c>
      <c r="K1180" s="45">
        <v>0.6</v>
      </c>
    </row>
    <row r="1181" spans="1:11" x14ac:dyDescent="0.3">
      <c r="A1181" s="48">
        <v>46036</v>
      </c>
      <c r="B1181" s="42" t="s">
        <v>34</v>
      </c>
      <c r="D1181" s="42" t="s">
        <v>575</v>
      </c>
      <c r="E1181" s="42" t="s">
        <v>209</v>
      </c>
      <c r="F1181" s="44" t="s">
        <v>429</v>
      </c>
      <c r="I1181" s="60"/>
      <c r="J1181" s="49">
        <v>1</v>
      </c>
      <c r="K1181" s="45">
        <v>1</v>
      </c>
    </row>
    <row r="1182" spans="1:11" x14ac:dyDescent="0.3">
      <c r="A1182" s="48">
        <v>46036</v>
      </c>
      <c r="B1182" s="42" t="s">
        <v>34</v>
      </c>
      <c r="D1182" s="42" t="s">
        <v>575</v>
      </c>
      <c r="E1182" s="42" t="s">
        <v>209</v>
      </c>
      <c r="F1182" s="44" t="s">
        <v>430</v>
      </c>
      <c r="I1182" s="60"/>
      <c r="J1182" s="49">
        <v>1</v>
      </c>
      <c r="K1182" s="45">
        <v>0.6</v>
      </c>
    </row>
    <row r="1183" spans="1:11" x14ac:dyDescent="0.3">
      <c r="A1183" s="48">
        <v>46036</v>
      </c>
      <c r="B1183" s="42" t="s">
        <v>34</v>
      </c>
      <c r="D1183" s="42" t="s">
        <v>575</v>
      </c>
      <c r="E1183" s="42" t="s">
        <v>209</v>
      </c>
      <c r="F1183" s="44" t="s">
        <v>431</v>
      </c>
      <c r="I1183" s="60"/>
      <c r="J1183" s="49">
        <v>1</v>
      </c>
      <c r="K1183" s="45">
        <v>1.4</v>
      </c>
    </row>
    <row r="1184" spans="1:11" x14ac:dyDescent="0.3">
      <c r="A1184" s="48">
        <v>46036</v>
      </c>
      <c r="B1184" s="42" t="s">
        <v>34</v>
      </c>
      <c r="D1184" s="42" t="s">
        <v>575</v>
      </c>
      <c r="E1184" s="42" t="s">
        <v>209</v>
      </c>
      <c r="F1184" s="44" t="s">
        <v>432</v>
      </c>
      <c r="I1184" s="60"/>
      <c r="J1184" s="49">
        <v>1</v>
      </c>
      <c r="K1184" s="45">
        <v>1.6</v>
      </c>
    </row>
    <row r="1185" spans="1:18" x14ac:dyDescent="0.3">
      <c r="A1185" s="48">
        <v>46036</v>
      </c>
      <c r="B1185" s="42" t="s">
        <v>34</v>
      </c>
      <c r="D1185" s="42" t="s">
        <v>575</v>
      </c>
      <c r="E1185" s="42" t="s">
        <v>209</v>
      </c>
      <c r="F1185" s="44" t="s">
        <v>433</v>
      </c>
      <c r="I1185" s="60"/>
      <c r="J1185" s="49">
        <v>1</v>
      </c>
      <c r="K1185" s="45">
        <v>1.6</v>
      </c>
      <c r="M1185" s="54"/>
      <c r="N1185" s="54"/>
    </row>
    <row r="1186" spans="1:18" x14ac:dyDescent="0.3">
      <c r="A1186" s="48">
        <v>46036</v>
      </c>
      <c r="B1186" s="42" t="s">
        <v>34</v>
      </c>
      <c r="D1186" s="42" t="s">
        <v>575</v>
      </c>
      <c r="E1186" s="42" t="s">
        <v>209</v>
      </c>
      <c r="F1186" s="44" t="s">
        <v>434</v>
      </c>
      <c r="I1186" s="60"/>
      <c r="J1186" s="49">
        <v>1</v>
      </c>
      <c r="K1186" s="45">
        <v>1.2</v>
      </c>
      <c r="M1186" s="54"/>
      <c r="N1186" s="54"/>
    </row>
    <row r="1187" spans="1:18" x14ac:dyDescent="0.3">
      <c r="A1187" s="48">
        <v>46036</v>
      </c>
      <c r="B1187" s="42" t="s">
        <v>34</v>
      </c>
      <c r="D1187" s="42" t="s">
        <v>575</v>
      </c>
      <c r="E1187" s="42" t="s">
        <v>209</v>
      </c>
      <c r="F1187" s="44" t="s">
        <v>435</v>
      </c>
      <c r="I1187" s="60"/>
      <c r="J1187" s="49">
        <v>1</v>
      </c>
      <c r="K1187" s="45">
        <v>1.9</v>
      </c>
      <c r="M1187" s="54"/>
      <c r="N1187" s="54"/>
    </row>
    <row r="1188" spans="1:18" x14ac:dyDescent="0.3">
      <c r="A1188" s="48">
        <v>46036</v>
      </c>
      <c r="B1188" s="42" t="s">
        <v>34</v>
      </c>
      <c r="D1188" s="42" t="s">
        <v>575</v>
      </c>
      <c r="E1188" s="42" t="s">
        <v>209</v>
      </c>
      <c r="F1188" s="44" t="s">
        <v>436</v>
      </c>
      <c r="I1188" s="60"/>
      <c r="J1188" s="49">
        <v>1</v>
      </c>
      <c r="K1188" s="46">
        <v>0.9</v>
      </c>
      <c r="L1188" s="46"/>
      <c r="M1188" s="54"/>
      <c r="N1188" s="54"/>
    </row>
    <row r="1189" spans="1:18" x14ac:dyDescent="0.3">
      <c r="A1189" s="48">
        <v>46036</v>
      </c>
      <c r="B1189" s="42" t="s">
        <v>34</v>
      </c>
      <c r="D1189" s="42" t="s">
        <v>575</v>
      </c>
      <c r="E1189" s="42" t="s">
        <v>209</v>
      </c>
      <c r="F1189" s="44" t="s">
        <v>437</v>
      </c>
      <c r="I1189" s="60"/>
      <c r="J1189" s="49">
        <v>1</v>
      </c>
      <c r="K1189" s="46">
        <v>1.9</v>
      </c>
      <c r="L1189" s="46"/>
      <c r="M1189" s="54"/>
      <c r="N1189" s="54"/>
    </row>
    <row r="1190" spans="1:18" x14ac:dyDescent="0.3">
      <c r="A1190" s="48">
        <v>46036</v>
      </c>
      <c r="B1190" s="42" t="s">
        <v>34</v>
      </c>
      <c r="D1190" s="42" t="s">
        <v>575</v>
      </c>
      <c r="E1190" s="42" t="s">
        <v>209</v>
      </c>
      <c r="F1190" s="44" t="s">
        <v>438</v>
      </c>
      <c r="I1190" s="60"/>
      <c r="J1190" s="49">
        <v>1</v>
      </c>
      <c r="K1190" s="45">
        <v>2.4</v>
      </c>
    </row>
    <row r="1191" spans="1:18" x14ac:dyDescent="0.3">
      <c r="A1191" s="48">
        <v>46036</v>
      </c>
      <c r="B1191" s="42" t="s">
        <v>34</v>
      </c>
      <c r="D1191" s="42" t="s">
        <v>575</v>
      </c>
      <c r="E1191" s="42" t="s">
        <v>209</v>
      </c>
      <c r="F1191" s="44" t="s">
        <v>439</v>
      </c>
      <c r="I1191" s="60"/>
      <c r="J1191" s="49">
        <v>1</v>
      </c>
      <c r="K1191" s="45">
        <v>0.6</v>
      </c>
    </row>
    <row r="1192" spans="1:18" x14ac:dyDescent="0.3">
      <c r="A1192" s="48">
        <v>46036</v>
      </c>
      <c r="B1192" s="42" t="s">
        <v>34</v>
      </c>
      <c r="D1192" s="42" t="s">
        <v>575</v>
      </c>
      <c r="E1192" s="42" t="s">
        <v>209</v>
      </c>
      <c r="F1192" s="44" t="s">
        <v>440</v>
      </c>
      <c r="I1192" s="60"/>
      <c r="J1192" s="49">
        <v>1</v>
      </c>
      <c r="K1192" s="45">
        <v>0.7</v>
      </c>
      <c r="R1192" s="7">
        <f>33777+263+263+263</f>
        <v>34566</v>
      </c>
    </row>
    <row r="1193" spans="1:18" x14ac:dyDescent="0.3">
      <c r="A1193" s="48">
        <v>46036</v>
      </c>
      <c r="B1193" s="42" t="s">
        <v>34</v>
      </c>
      <c r="D1193" s="42" t="s">
        <v>575</v>
      </c>
      <c r="E1193" s="42" t="s">
        <v>209</v>
      </c>
      <c r="F1193" s="44" t="s">
        <v>441</v>
      </c>
      <c r="I1193" s="60"/>
      <c r="J1193" s="49">
        <v>1</v>
      </c>
      <c r="K1193" s="45">
        <v>1.5</v>
      </c>
    </row>
    <row r="1194" spans="1:18" x14ac:dyDescent="0.3">
      <c r="A1194" s="48">
        <v>46036</v>
      </c>
      <c r="B1194" s="42" t="s">
        <v>34</v>
      </c>
      <c r="D1194" s="42" t="s">
        <v>575</v>
      </c>
      <c r="E1194" s="42" t="s">
        <v>209</v>
      </c>
      <c r="F1194" s="44" t="s">
        <v>442</v>
      </c>
      <c r="I1194" s="60"/>
      <c r="J1194" s="49">
        <v>1</v>
      </c>
      <c r="K1194" s="45">
        <v>0.6</v>
      </c>
    </row>
    <row r="1195" spans="1:18" x14ac:dyDescent="0.3">
      <c r="A1195" s="48">
        <v>46036</v>
      </c>
      <c r="B1195" s="42" t="s">
        <v>34</v>
      </c>
      <c r="D1195" s="42" t="s">
        <v>575</v>
      </c>
      <c r="E1195" s="42" t="s">
        <v>209</v>
      </c>
      <c r="F1195" s="44" t="s">
        <v>443</v>
      </c>
      <c r="I1195" s="60"/>
      <c r="J1195" s="49">
        <v>1</v>
      </c>
      <c r="K1195" s="45">
        <v>0.1</v>
      </c>
    </row>
    <row r="1196" spans="1:18" x14ac:dyDescent="0.3">
      <c r="A1196" s="48">
        <v>46036</v>
      </c>
      <c r="B1196" s="42" t="s">
        <v>34</v>
      </c>
      <c r="D1196" s="42" t="s">
        <v>575</v>
      </c>
      <c r="E1196" s="42" t="s">
        <v>209</v>
      </c>
      <c r="F1196" s="44" t="s">
        <v>444</v>
      </c>
      <c r="I1196" s="60"/>
      <c r="J1196" s="49">
        <v>1</v>
      </c>
      <c r="K1196" s="45">
        <v>0.4</v>
      </c>
    </row>
    <row r="1197" spans="1:18" x14ac:dyDescent="0.3">
      <c r="A1197" s="48">
        <v>46036</v>
      </c>
      <c r="B1197" s="42" t="s">
        <v>34</v>
      </c>
      <c r="D1197" s="42" t="s">
        <v>575</v>
      </c>
      <c r="E1197" s="42" t="s">
        <v>209</v>
      </c>
      <c r="F1197" s="44" t="s">
        <v>445</v>
      </c>
      <c r="I1197" s="60"/>
      <c r="J1197" s="49">
        <v>1</v>
      </c>
      <c r="K1197" s="45">
        <v>0.4</v>
      </c>
    </row>
    <row r="1198" spans="1:18" x14ac:dyDescent="0.3">
      <c r="A1198" s="48">
        <v>46036</v>
      </c>
      <c r="B1198" s="42" t="s">
        <v>34</v>
      </c>
      <c r="D1198" s="42" t="s">
        <v>575</v>
      </c>
      <c r="E1198" s="42" t="s">
        <v>209</v>
      </c>
      <c r="F1198" s="44" t="s">
        <v>446</v>
      </c>
      <c r="I1198" s="60"/>
      <c r="J1198" s="49">
        <v>1</v>
      </c>
      <c r="K1198" s="45">
        <v>0.1</v>
      </c>
    </row>
    <row r="1199" spans="1:18" x14ac:dyDescent="0.3">
      <c r="A1199" s="48">
        <v>46036</v>
      </c>
      <c r="B1199" s="42" t="s">
        <v>34</v>
      </c>
      <c r="D1199" s="42" t="s">
        <v>575</v>
      </c>
      <c r="E1199" s="42" t="s">
        <v>209</v>
      </c>
      <c r="F1199" s="44" t="s">
        <v>447</v>
      </c>
      <c r="I1199" s="60"/>
      <c r="J1199" s="49">
        <v>1</v>
      </c>
      <c r="K1199" s="45">
        <v>0.1</v>
      </c>
    </row>
    <row r="1200" spans="1:18" x14ac:dyDescent="0.3">
      <c r="A1200" s="48">
        <v>46036</v>
      </c>
      <c r="B1200" s="42" t="s">
        <v>34</v>
      </c>
      <c r="D1200" s="42" t="s">
        <v>575</v>
      </c>
      <c r="E1200" s="42" t="s">
        <v>209</v>
      </c>
      <c r="F1200" s="44" t="s">
        <v>448</v>
      </c>
      <c r="I1200" s="60"/>
      <c r="J1200" s="49">
        <v>1</v>
      </c>
      <c r="K1200" s="45">
        <v>0.4</v>
      </c>
    </row>
    <row r="1201" spans="1:15" x14ac:dyDescent="0.3">
      <c r="A1201" s="48">
        <v>46036</v>
      </c>
      <c r="B1201" s="42" t="s">
        <v>34</v>
      </c>
      <c r="D1201" s="42" t="s">
        <v>575</v>
      </c>
      <c r="E1201" s="42" t="s">
        <v>209</v>
      </c>
      <c r="F1201" s="44" t="s">
        <v>449</v>
      </c>
      <c r="I1201" s="60"/>
      <c r="J1201" s="49">
        <v>1</v>
      </c>
      <c r="K1201" s="45">
        <v>0.6</v>
      </c>
    </row>
    <row r="1202" spans="1:15" x14ac:dyDescent="0.3">
      <c r="A1202" s="48">
        <v>46036</v>
      </c>
      <c r="B1202" s="42" t="s">
        <v>34</v>
      </c>
      <c r="D1202" s="42" t="s">
        <v>575</v>
      </c>
      <c r="E1202" s="42" t="s">
        <v>209</v>
      </c>
      <c r="F1202" s="44" t="s">
        <v>450</v>
      </c>
      <c r="I1202" s="60"/>
      <c r="J1202" s="49">
        <v>1</v>
      </c>
      <c r="K1202" s="45">
        <v>1</v>
      </c>
    </row>
    <row r="1203" spans="1:15" x14ac:dyDescent="0.3">
      <c r="A1203" s="48">
        <v>46036</v>
      </c>
      <c r="B1203" s="42" t="s">
        <v>34</v>
      </c>
      <c r="D1203" s="42" t="s">
        <v>575</v>
      </c>
      <c r="E1203" s="42" t="s">
        <v>209</v>
      </c>
      <c r="F1203" s="44" t="s">
        <v>451</v>
      </c>
      <c r="G1203" s="68"/>
      <c r="H1203" s="68"/>
      <c r="I1203" s="59"/>
      <c r="J1203" s="49">
        <v>1</v>
      </c>
      <c r="K1203" s="45">
        <v>0.2</v>
      </c>
    </row>
    <row r="1204" spans="1:15" x14ac:dyDescent="0.3">
      <c r="A1204" s="48">
        <v>46036</v>
      </c>
      <c r="B1204" s="42" t="s">
        <v>34</v>
      </c>
      <c r="D1204" s="42" t="s">
        <v>575</v>
      </c>
      <c r="E1204" s="42" t="s">
        <v>209</v>
      </c>
      <c r="F1204" s="44" t="s">
        <v>452</v>
      </c>
      <c r="I1204" s="60"/>
      <c r="J1204" s="49">
        <v>1</v>
      </c>
      <c r="K1204" s="45">
        <v>0.3</v>
      </c>
    </row>
    <row r="1205" spans="1:15" s="13" customFormat="1" ht="16.5" customHeight="1" x14ac:dyDescent="0.3">
      <c r="A1205" s="48">
        <v>46036</v>
      </c>
      <c r="B1205" s="42" t="s">
        <v>34</v>
      </c>
      <c r="C1205" s="42"/>
      <c r="D1205" s="42" t="s">
        <v>575</v>
      </c>
      <c r="E1205" s="42" t="s">
        <v>36</v>
      </c>
      <c r="F1205" s="44" t="s">
        <v>37</v>
      </c>
      <c r="G1205" s="44"/>
      <c r="H1205" s="44" t="s">
        <v>39</v>
      </c>
      <c r="I1205" s="44" t="s">
        <v>46</v>
      </c>
      <c r="J1205" s="49">
        <v>3</v>
      </c>
      <c r="K1205" s="45">
        <v>187</v>
      </c>
      <c r="L1205" s="45"/>
      <c r="M1205" s="50"/>
      <c r="N1205" s="50"/>
      <c r="O1205" s="51">
        <v>275.7</v>
      </c>
    </row>
    <row r="1206" spans="1:15" ht="16.5" customHeight="1" x14ac:dyDescent="0.3">
      <c r="A1206" s="48">
        <v>46036</v>
      </c>
      <c r="B1206" s="42" t="s">
        <v>34</v>
      </c>
      <c r="D1206" s="42" t="s">
        <v>575</v>
      </c>
      <c r="E1206" s="42" t="s">
        <v>40</v>
      </c>
      <c r="F1206" s="44" t="s">
        <v>41</v>
      </c>
      <c r="H1206" s="44" t="s">
        <v>39</v>
      </c>
      <c r="I1206" s="44" t="s">
        <v>46</v>
      </c>
      <c r="J1206" s="49">
        <v>3</v>
      </c>
      <c r="K1206" s="46">
        <v>24.5</v>
      </c>
      <c r="L1206" s="46"/>
    </row>
    <row r="1207" spans="1:15" ht="16.5" customHeight="1" x14ac:dyDescent="0.3">
      <c r="A1207" s="48">
        <v>46036</v>
      </c>
      <c r="B1207" s="42" t="s">
        <v>34</v>
      </c>
      <c r="D1207" s="42" t="s">
        <v>575</v>
      </c>
      <c r="E1207" s="42" t="s">
        <v>40</v>
      </c>
      <c r="F1207" s="44" t="s">
        <v>42</v>
      </c>
      <c r="H1207" s="44" t="s">
        <v>39</v>
      </c>
      <c r="I1207" s="44" t="s">
        <v>46</v>
      </c>
      <c r="J1207" s="49">
        <v>3</v>
      </c>
      <c r="K1207" s="45">
        <v>19.600000000000001</v>
      </c>
      <c r="M1207" s="52"/>
    </row>
    <row r="1208" spans="1:15" ht="16.5" customHeight="1" x14ac:dyDescent="0.3">
      <c r="A1208" s="48">
        <v>46036</v>
      </c>
      <c r="B1208" s="42" t="s">
        <v>34</v>
      </c>
      <c r="D1208" s="42" t="s">
        <v>575</v>
      </c>
      <c r="E1208" s="42" t="s">
        <v>40</v>
      </c>
      <c r="F1208" s="44" t="s">
        <v>43</v>
      </c>
      <c r="H1208" s="44" t="s">
        <v>39</v>
      </c>
      <c r="I1208" s="44" t="s">
        <v>46</v>
      </c>
      <c r="J1208" s="49">
        <v>3</v>
      </c>
      <c r="K1208" s="45">
        <v>7.1</v>
      </c>
    </row>
    <row r="1209" spans="1:15" ht="16.5" customHeight="1" x14ac:dyDescent="0.3">
      <c r="A1209" s="48">
        <v>46036</v>
      </c>
      <c r="B1209" s="42" t="s">
        <v>34</v>
      </c>
      <c r="D1209" s="42" t="s">
        <v>575</v>
      </c>
      <c r="E1209" s="42" t="s">
        <v>45</v>
      </c>
      <c r="F1209" s="44" t="s">
        <v>44</v>
      </c>
      <c r="H1209" s="44" t="s">
        <v>39</v>
      </c>
      <c r="I1209" s="44" t="s">
        <v>46</v>
      </c>
      <c r="J1209" s="49">
        <v>3</v>
      </c>
      <c r="K1209" s="45">
        <v>62.4</v>
      </c>
    </row>
    <row r="1216" spans="1:15" x14ac:dyDescent="0.3">
      <c r="A1216" s="64"/>
      <c r="M1216" s="58"/>
      <c r="N1216" s="58"/>
    </row>
    <row r="1218" spans="1:14" x14ac:dyDescent="0.3">
      <c r="A1218" s="64"/>
      <c r="M1218" s="58"/>
      <c r="N1218" s="58"/>
    </row>
    <row r="1219" spans="1:14" x14ac:dyDescent="0.3">
      <c r="A1219" s="64"/>
      <c r="K1219" s="46"/>
      <c r="L1219" s="46"/>
      <c r="M1219" s="58"/>
      <c r="N1219" s="58"/>
    </row>
    <row r="1220" spans="1:14" x14ac:dyDescent="0.3">
      <c r="A1220" s="64"/>
      <c r="K1220" s="46"/>
      <c r="L1220" s="46"/>
      <c r="M1220" s="58"/>
      <c r="N1220" s="58"/>
    </row>
    <row r="1221" spans="1:14" x14ac:dyDescent="0.3">
      <c r="K1221" s="46"/>
      <c r="L1221" s="46"/>
    </row>
    <row r="1222" spans="1:14" x14ac:dyDescent="0.3">
      <c r="A1222" s="64"/>
      <c r="K1222" s="46"/>
      <c r="L1222" s="46"/>
      <c r="M1222" s="58"/>
      <c r="N1222" s="58"/>
    </row>
    <row r="1223" spans="1:14" x14ac:dyDescent="0.3">
      <c r="A1223" s="64"/>
      <c r="K1223" s="46"/>
      <c r="L1223" s="46"/>
      <c r="M1223" s="58"/>
      <c r="N1223" s="58"/>
    </row>
    <row r="1224" spans="1:14" x14ac:dyDescent="0.3">
      <c r="F1224" s="55"/>
      <c r="G1224" s="55"/>
      <c r="H1224" s="55"/>
      <c r="J1224" s="49"/>
      <c r="K1224" s="46"/>
      <c r="L1224" s="46"/>
    </row>
    <row r="1225" spans="1:14" x14ac:dyDescent="0.3">
      <c r="F1225" s="55"/>
      <c r="G1225" s="55"/>
      <c r="H1225" s="55"/>
      <c r="K1225" s="46"/>
      <c r="L1225" s="46"/>
    </row>
    <row r="1226" spans="1:14" x14ac:dyDescent="0.3">
      <c r="F1226" s="55"/>
      <c r="G1226" s="55"/>
      <c r="H1226" s="55"/>
    </row>
    <row r="1227" spans="1:14" x14ac:dyDescent="0.3">
      <c r="F1227" s="55"/>
      <c r="G1227" s="55"/>
      <c r="H1227" s="55"/>
    </row>
    <row r="1228" spans="1:14" x14ac:dyDescent="0.3">
      <c r="F1228" s="55"/>
      <c r="G1228" s="55"/>
      <c r="H1228" s="55"/>
    </row>
    <row r="1229" spans="1:14" x14ac:dyDescent="0.3">
      <c r="F1229" s="55"/>
      <c r="G1229" s="55"/>
      <c r="H1229" s="55"/>
    </row>
    <row r="1230" spans="1:14" x14ac:dyDescent="0.3">
      <c r="F1230" s="55"/>
      <c r="G1230" s="55"/>
      <c r="H1230" s="55"/>
    </row>
    <row r="1231" spans="1:14" x14ac:dyDescent="0.3">
      <c r="F1231" s="55"/>
      <c r="G1231" s="55"/>
      <c r="H1231" s="55"/>
    </row>
    <row r="1232" spans="1:14" x14ac:dyDescent="0.3">
      <c r="F1232" s="55"/>
      <c r="G1232" s="55"/>
      <c r="H1232" s="55"/>
    </row>
    <row r="1233" spans="1:14" x14ac:dyDescent="0.3">
      <c r="F1233" s="55"/>
      <c r="G1233" s="55"/>
      <c r="H1233" s="55"/>
    </row>
    <row r="1234" spans="1:14" x14ac:dyDescent="0.3">
      <c r="F1234" s="55"/>
      <c r="G1234" s="55"/>
      <c r="H1234" s="55"/>
    </row>
    <row r="1235" spans="1:14" x14ac:dyDescent="0.3">
      <c r="F1235" s="55"/>
      <c r="G1235" s="55"/>
      <c r="H1235" s="55"/>
    </row>
    <row r="1236" spans="1:14" x14ac:dyDescent="0.3">
      <c r="F1236" s="55"/>
      <c r="G1236" s="55"/>
      <c r="H1236" s="55"/>
    </row>
    <row r="1237" spans="1:14" x14ac:dyDescent="0.3">
      <c r="F1237" s="55"/>
      <c r="G1237" s="55"/>
      <c r="H1237" s="55"/>
    </row>
    <row r="1238" spans="1:14" x14ac:dyDescent="0.3">
      <c r="F1238" s="55"/>
      <c r="G1238" s="55"/>
      <c r="H1238" s="55"/>
    </row>
    <row r="1239" spans="1:14" x14ac:dyDescent="0.3">
      <c r="F1239" s="55"/>
      <c r="G1239" s="55"/>
      <c r="H1239" s="55"/>
    </row>
    <row r="1240" spans="1:14" x14ac:dyDescent="0.3">
      <c r="F1240" s="55"/>
      <c r="G1240" s="55"/>
      <c r="H1240" s="55"/>
    </row>
    <row r="1241" spans="1:14" x14ac:dyDescent="0.3">
      <c r="A1241" s="64"/>
      <c r="F1241" s="55"/>
      <c r="G1241" s="55"/>
      <c r="H1241" s="55"/>
      <c r="M1241" s="58"/>
      <c r="N1241" s="58"/>
    </row>
    <row r="1242" spans="1:14" x14ac:dyDescent="0.3">
      <c r="F1242" s="55"/>
      <c r="G1242" s="55"/>
      <c r="H1242" s="55"/>
    </row>
    <row r="1243" spans="1:14" x14ac:dyDescent="0.3">
      <c r="F1243" s="55"/>
      <c r="G1243" s="55"/>
      <c r="H1243" s="55"/>
    </row>
    <row r="1244" spans="1:14" x14ac:dyDescent="0.3">
      <c r="F1244" s="55"/>
      <c r="G1244" s="55"/>
      <c r="H1244" s="55"/>
    </row>
    <row r="1245" spans="1:14" x14ac:dyDescent="0.3">
      <c r="F1245" s="55"/>
      <c r="G1245" s="55"/>
      <c r="H1245" s="55"/>
    </row>
    <row r="1246" spans="1:14" x14ac:dyDescent="0.3">
      <c r="F1246" s="55"/>
      <c r="G1246" s="55"/>
      <c r="H1246" s="55"/>
    </row>
    <row r="1247" spans="1:14" x14ac:dyDescent="0.3">
      <c r="F1247" s="55"/>
      <c r="G1247" s="55"/>
      <c r="H1247" s="55"/>
    </row>
    <row r="1248" spans="1:14" x14ac:dyDescent="0.3">
      <c r="F1248" s="55"/>
      <c r="G1248" s="55"/>
      <c r="H1248" s="55"/>
    </row>
    <row r="1249" spans="6:9" x14ac:dyDescent="0.3">
      <c r="F1249" s="55"/>
      <c r="G1249" s="55"/>
      <c r="H1249" s="55"/>
      <c r="I1249" s="63"/>
    </row>
    <row r="1299" spans="1:14" x14ac:dyDescent="0.3">
      <c r="A1299" s="65"/>
    </row>
    <row r="1300" spans="1:14" x14ac:dyDescent="0.3">
      <c r="A1300" s="65"/>
    </row>
    <row r="1301" spans="1:14" x14ac:dyDescent="0.3">
      <c r="A1301" s="65"/>
      <c r="M1301" s="58"/>
      <c r="N1301" s="58"/>
    </row>
    <row r="1302" spans="1:14" x14ac:dyDescent="0.3">
      <c r="A1302" s="65"/>
      <c r="K1302" s="46"/>
      <c r="L1302" s="46"/>
      <c r="M1302" s="58"/>
      <c r="N1302" s="58"/>
    </row>
    <row r="1303" spans="1:14" x14ac:dyDescent="0.3">
      <c r="A1303" s="65"/>
      <c r="K1303" s="46"/>
      <c r="L1303" s="46"/>
      <c r="M1303" s="61"/>
      <c r="N1303" s="61"/>
    </row>
    <row r="1304" spans="1:14" x14ac:dyDescent="0.3">
      <c r="A1304" s="65"/>
      <c r="K1304" s="46"/>
      <c r="L1304" s="46"/>
    </row>
    <row r="1305" spans="1:14" x14ac:dyDescent="0.3">
      <c r="A1305" s="65"/>
      <c r="K1305" s="46"/>
      <c r="L1305" s="46"/>
    </row>
    <row r="1306" spans="1:14" x14ac:dyDescent="0.3">
      <c r="A1306" s="65"/>
      <c r="K1306" s="46"/>
      <c r="L1306" s="46"/>
    </row>
    <row r="1307" spans="1:14" x14ac:dyDescent="0.3">
      <c r="A1307" s="65"/>
      <c r="K1307" s="46"/>
      <c r="L1307" s="46"/>
    </row>
    <row r="1308" spans="1:14" x14ac:dyDescent="0.3">
      <c r="A1308" s="65"/>
      <c r="K1308" s="46"/>
      <c r="L1308" s="46"/>
    </row>
    <row r="1309" spans="1:14" x14ac:dyDescent="0.3">
      <c r="A1309" s="65"/>
    </row>
    <row r="1310" spans="1:14" x14ac:dyDescent="0.3">
      <c r="A1310" s="65"/>
    </row>
    <row r="1311" spans="1:14" x14ac:dyDescent="0.3">
      <c r="A1311" s="65"/>
    </row>
    <row r="1340" spans="13:14" x14ac:dyDescent="0.3">
      <c r="M1340" s="61"/>
      <c r="N1340" s="61"/>
    </row>
    <row r="1377" spans="11:12" x14ac:dyDescent="0.3">
      <c r="K1377" s="46"/>
      <c r="L1377" s="46"/>
    </row>
    <row r="1378" spans="11:12" x14ac:dyDescent="0.3">
      <c r="K1378" s="46"/>
      <c r="L1378" s="46"/>
    </row>
    <row r="1417" spans="11:12" x14ac:dyDescent="0.3">
      <c r="K1417" s="46"/>
      <c r="L1417" s="46"/>
    </row>
    <row r="1418" spans="11:12" x14ac:dyDescent="0.3">
      <c r="K1418" s="46"/>
      <c r="L1418" s="46"/>
    </row>
    <row r="1419" spans="11:12" x14ac:dyDescent="0.3">
      <c r="K1419" s="46"/>
      <c r="L1419" s="46"/>
    </row>
    <row r="1420" spans="11:12" x14ac:dyDescent="0.3">
      <c r="K1420" s="46"/>
      <c r="L1420" s="46"/>
    </row>
    <row r="1421" spans="11:12" x14ac:dyDescent="0.3">
      <c r="K1421" s="46"/>
      <c r="L1421" s="46"/>
    </row>
    <row r="1422" spans="11:12" x14ac:dyDescent="0.3">
      <c r="K1422" s="46"/>
      <c r="L1422" s="46"/>
    </row>
    <row r="1456" spans="13:14" x14ac:dyDescent="0.3">
      <c r="M1456" s="54"/>
      <c r="N1456" s="54"/>
    </row>
    <row r="1457" spans="13:14" x14ac:dyDescent="0.3">
      <c r="M1457" s="54"/>
      <c r="N1457" s="54"/>
    </row>
    <row r="1458" spans="13:14" x14ac:dyDescent="0.3">
      <c r="M1458" s="54"/>
      <c r="N1458" s="54"/>
    </row>
    <row r="1459" spans="13:14" x14ac:dyDescent="0.3">
      <c r="M1459" s="54"/>
      <c r="N1459" s="54"/>
    </row>
    <row r="1522" spans="6:12" x14ac:dyDescent="0.3">
      <c r="K1522" s="46"/>
      <c r="L1522" s="46"/>
    </row>
    <row r="1523" spans="6:12" x14ac:dyDescent="0.3">
      <c r="K1523" s="46"/>
      <c r="L1523" s="46"/>
    </row>
    <row r="1524" spans="6:12" x14ac:dyDescent="0.3">
      <c r="K1524" s="46"/>
      <c r="L1524" s="46"/>
    </row>
    <row r="1525" spans="6:12" x14ac:dyDescent="0.3">
      <c r="F1525" s="55"/>
      <c r="G1525" s="55"/>
      <c r="H1525" s="55"/>
      <c r="K1525" s="46"/>
      <c r="L1525" s="46"/>
    </row>
    <row r="1526" spans="6:12" x14ac:dyDescent="0.3">
      <c r="F1526" s="55"/>
      <c r="G1526" s="55"/>
      <c r="H1526" s="55"/>
      <c r="K1526" s="46"/>
      <c r="L1526" s="46"/>
    </row>
    <row r="1527" spans="6:12" x14ac:dyDescent="0.3">
      <c r="F1527" s="55"/>
      <c r="G1527" s="55"/>
      <c r="H1527" s="55"/>
      <c r="K1527" s="46"/>
      <c r="L1527" s="46"/>
    </row>
    <row r="1528" spans="6:12" x14ac:dyDescent="0.3">
      <c r="F1528" s="55"/>
      <c r="G1528" s="55"/>
      <c r="H1528" s="55"/>
      <c r="K1528" s="46"/>
      <c r="L1528" s="46"/>
    </row>
    <row r="1529" spans="6:12" x14ac:dyDescent="0.3">
      <c r="F1529" s="55"/>
      <c r="G1529" s="55"/>
      <c r="H1529" s="55"/>
    </row>
    <row r="1530" spans="6:12" x14ac:dyDescent="0.3">
      <c r="F1530" s="55"/>
      <c r="G1530" s="55"/>
      <c r="H1530" s="55"/>
    </row>
    <row r="1531" spans="6:12" x14ac:dyDescent="0.3">
      <c r="F1531" s="55"/>
      <c r="G1531" s="55"/>
      <c r="H1531" s="55"/>
    </row>
    <row r="1532" spans="6:12" x14ac:dyDescent="0.3">
      <c r="F1532" s="55"/>
      <c r="G1532" s="55"/>
      <c r="H1532" s="55"/>
    </row>
    <row r="1533" spans="6:12" x14ac:dyDescent="0.3">
      <c r="F1533" s="55"/>
      <c r="G1533" s="55"/>
      <c r="H1533" s="55"/>
    </row>
    <row r="1534" spans="6:12" x14ac:dyDescent="0.3">
      <c r="F1534" s="55"/>
      <c r="G1534" s="55"/>
      <c r="H1534" s="55"/>
    </row>
    <row r="1535" spans="6:12" x14ac:dyDescent="0.3">
      <c r="F1535" s="55"/>
      <c r="G1535" s="55"/>
      <c r="H1535" s="55"/>
    </row>
    <row r="1536" spans="6:12" x14ac:dyDescent="0.3">
      <c r="F1536" s="55"/>
      <c r="G1536" s="55"/>
      <c r="H1536" s="55"/>
    </row>
    <row r="1537" spans="6:9" x14ac:dyDescent="0.3">
      <c r="F1537" s="55"/>
      <c r="G1537" s="55"/>
      <c r="H1537" s="55"/>
    </row>
    <row r="1538" spans="6:9" x14ac:dyDescent="0.3">
      <c r="F1538" s="55"/>
      <c r="G1538" s="55"/>
      <c r="H1538" s="55"/>
    </row>
    <row r="1539" spans="6:9" x14ac:dyDescent="0.3">
      <c r="F1539" s="55"/>
      <c r="G1539" s="55"/>
      <c r="H1539" s="55"/>
    </row>
    <row r="1540" spans="6:9" x14ac:dyDescent="0.3">
      <c r="F1540" s="55"/>
      <c r="G1540" s="55"/>
      <c r="H1540" s="55"/>
    </row>
    <row r="1541" spans="6:9" x14ac:dyDescent="0.3">
      <c r="F1541" s="55"/>
      <c r="G1541" s="55"/>
      <c r="H1541" s="55"/>
    </row>
    <row r="1542" spans="6:9" x14ac:dyDescent="0.3">
      <c r="F1542" s="55"/>
      <c r="G1542" s="55"/>
      <c r="H1542" s="55"/>
    </row>
    <row r="1543" spans="6:9" x14ac:dyDescent="0.3">
      <c r="F1543" s="55"/>
      <c r="G1543" s="55"/>
      <c r="H1543" s="55"/>
    </row>
    <row r="1544" spans="6:9" x14ac:dyDescent="0.3">
      <c r="F1544" s="55"/>
      <c r="G1544" s="55"/>
      <c r="H1544" s="55"/>
    </row>
    <row r="1545" spans="6:9" x14ac:dyDescent="0.3">
      <c r="F1545" s="55"/>
      <c r="G1545" s="55"/>
      <c r="H1545" s="55"/>
    </row>
    <row r="1546" spans="6:9" x14ac:dyDescent="0.3">
      <c r="F1546" s="55"/>
      <c r="G1546" s="55"/>
      <c r="H1546" s="55"/>
    </row>
    <row r="1547" spans="6:9" x14ac:dyDescent="0.3">
      <c r="F1547" s="55"/>
      <c r="G1547" s="55"/>
      <c r="H1547" s="55"/>
    </row>
    <row r="1548" spans="6:9" x14ac:dyDescent="0.3">
      <c r="F1548" s="55"/>
      <c r="G1548" s="55"/>
      <c r="H1548" s="55"/>
    </row>
    <row r="1549" spans="6:9" x14ac:dyDescent="0.3">
      <c r="F1549" s="55"/>
      <c r="G1549" s="55"/>
      <c r="H1549" s="55"/>
    </row>
    <row r="1550" spans="6:9" x14ac:dyDescent="0.3">
      <c r="F1550" s="55"/>
      <c r="G1550" s="55"/>
      <c r="H1550" s="55"/>
    </row>
    <row r="1551" spans="6:9" x14ac:dyDescent="0.3">
      <c r="F1551" s="55"/>
      <c r="G1551" s="55"/>
      <c r="H1551" s="55"/>
    </row>
    <row r="1552" spans="6:9" x14ac:dyDescent="0.3">
      <c r="F1552" s="55"/>
      <c r="G1552" s="55"/>
      <c r="H1552" s="55"/>
      <c r="I1552" s="63"/>
    </row>
    <row r="1575" spans="13:14" x14ac:dyDescent="0.3">
      <c r="M1575" s="56"/>
      <c r="N1575" s="56"/>
    </row>
    <row r="1576" spans="13:14" x14ac:dyDescent="0.3">
      <c r="M1576" s="56"/>
      <c r="N1576" s="56"/>
    </row>
    <row r="1577" spans="13:14" x14ac:dyDescent="0.3">
      <c r="M1577" s="56"/>
      <c r="N1577" s="56"/>
    </row>
    <row r="1596" spans="13:14" x14ac:dyDescent="0.3">
      <c r="M1596" s="54"/>
      <c r="N1596" s="54"/>
    </row>
    <row r="1597" spans="13:14" x14ac:dyDescent="0.3">
      <c r="M1597" s="54"/>
      <c r="N1597" s="54"/>
    </row>
    <row r="1598" spans="13:14" x14ac:dyDescent="0.3">
      <c r="M1598" s="54"/>
      <c r="N1598" s="54"/>
    </row>
    <row r="1599" spans="13:14" x14ac:dyDescent="0.3">
      <c r="M1599" s="62"/>
      <c r="N1599" s="62"/>
    </row>
    <row r="1605" spans="11:12" x14ac:dyDescent="0.3">
      <c r="K1605" s="46"/>
      <c r="L1605" s="46"/>
    </row>
    <row r="1606" spans="11:12" x14ac:dyDescent="0.3">
      <c r="K1606" s="46"/>
      <c r="L1606" s="46"/>
    </row>
    <row r="1607" spans="11:12" x14ac:dyDescent="0.3">
      <c r="K1607" s="46"/>
      <c r="L1607" s="46"/>
    </row>
    <row r="1608" spans="11:12" x14ac:dyDescent="0.3">
      <c r="K1608" s="46"/>
      <c r="L1608" s="46"/>
    </row>
    <row r="1609" spans="11:12" x14ac:dyDescent="0.3">
      <c r="K1609" s="46"/>
      <c r="L1609" s="46"/>
    </row>
    <row r="1610" spans="11:12" x14ac:dyDescent="0.3">
      <c r="K1610" s="46"/>
      <c r="L1610" s="46"/>
    </row>
    <row r="1611" spans="11:12" x14ac:dyDescent="0.3">
      <c r="K1611" s="46"/>
      <c r="L1611" s="46"/>
    </row>
    <row r="1618" spans="13:14" x14ac:dyDescent="0.3">
      <c r="M1618" s="54"/>
      <c r="N1618" s="54"/>
    </row>
    <row r="1619" spans="13:14" x14ac:dyDescent="0.3">
      <c r="M1619" s="54"/>
      <c r="N1619" s="54"/>
    </row>
    <row r="1620" spans="13:14" x14ac:dyDescent="0.3">
      <c r="M1620" s="54"/>
      <c r="N1620" s="54"/>
    </row>
    <row r="1621" spans="13:14" x14ac:dyDescent="0.3">
      <c r="M1621" s="54"/>
      <c r="N1621" s="54"/>
    </row>
    <row r="1622" spans="13:14" x14ac:dyDescent="0.3">
      <c r="M1622" s="54"/>
      <c r="N1622" s="54"/>
    </row>
    <row r="1623" spans="13:14" x14ac:dyDescent="0.3">
      <c r="M1623" s="54"/>
      <c r="N1623" s="54"/>
    </row>
    <row r="1680" spans="11:12" x14ac:dyDescent="0.3">
      <c r="K1680" s="46"/>
      <c r="L1680" s="46"/>
    </row>
    <row r="1681" spans="11:12" x14ac:dyDescent="0.3">
      <c r="K1681" s="46"/>
      <c r="L1681" s="46"/>
    </row>
    <row r="1720" spans="11:14" x14ac:dyDescent="0.3">
      <c r="K1720" s="46"/>
      <c r="L1720" s="46"/>
    </row>
    <row r="1721" spans="11:14" x14ac:dyDescent="0.3">
      <c r="K1721" s="46"/>
      <c r="L1721" s="46"/>
    </row>
    <row r="1722" spans="11:14" x14ac:dyDescent="0.3">
      <c r="K1722" s="46"/>
      <c r="L1722" s="46"/>
    </row>
    <row r="1723" spans="11:14" x14ac:dyDescent="0.3">
      <c r="K1723" s="46"/>
      <c r="L1723" s="46"/>
    </row>
    <row r="1724" spans="11:14" x14ac:dyDescent="0.3">
      <c r="K1724" s="46"/>
      <c r="L1724" s="46"/>
    </row>
    <row r="1725" spans="11:14" x14ac:dyDescent="0.3">
      <c r="K1725" s="46"/>
      <c r="L1725" s="46"/>
    </row>
    <row r="1726" spans="11:14" x14ac:dyDescent="0.3">
      <c r="M1726" s="54"/>
      <c r="N1726" s="54"/>
    </row>
    <row r="1727" spans="11:14" x14ac:dyDescent="0.3">
      <c r="M1727" s="54"/>
      <c r="N1727" s="54"/>
    </row>
    <row r="1728" spans="11:14" x14ac:dyDescent="0.3">
      <c r="M1728" s="62"/>
      <c r="N1728" s="62"/>
    </row>
    <row r="1781" spans="13:14" x14ac:dyDescent="0.3">
      <c r="M1781" s="54"/>
      <c r="N1781" s="54"/>
    </row>
    <row r="1782" spans="13:14" x14ac:dyDescent="0.3">
      <c r="M1782" s="54"/>
      <c r="N1782" s="54"/>
    </row>
    <row r="1783" spans="13:14" x14ac:dyDescent="0.3">
      <c r="M1783" s="54"/>
      <c r="N1783" s="54"/>
    </row>
    <row r="1784" spans="13:14" x14ac:dyDescent="0.3">
      <c r="M1784" s="54"/>
      <c r="N1784" s="54"/>
    </row>
    <row r="1785" spans="13:14" x14ac:dyDescent="0.3">
      <c r="M1785" s="54"/>
      <c r="N1785" s="54"/>
    </row>
    <row r="1825" spans="6:12" x14ac:dyDescent="0.3">
      <c r="K1825" s="46"/>
      <c r="L1825" s="46"/>
    </row>
    <row r="1826" spans="6:12" x14ac:dyDescent="0.3">
      <c r="K1826" s="46"/>
      <c r="L1826" s="46"/>
    </row>
    <row r="1827" spans="6:12" x14ac:dyDescent="0.3">
      <c r="K1827" s="46"/>
      <c r="L1827" s="46"/>
    </row>
    <row r="1828" spans="6:12" x14ac:dyDescent="0.3">
      <c r="F1828" s="55"/>
      <c r="G1828" s="55"/>
      <c r="H1828" s="55"/>
      <c r="K1828" s="46"/>
      <c r="L1828" s="46"/>
    </row>
    <row r="1829" spans="6:12" x14ac:dyDescent="0.3">
      <c r="F1829" s="55"/>
      <c r="G1829" s="55"/>
      <c r="H1829" s="55"/>
      <c r="K1829" s="46"/>
      <c r="L1829" s="46"/>
    </row>
    <row r="1830" spans="6:12" x14ac:dyDescent="0.3">
      <c r="F1830" s="55"/>
      <c r="G1830" s="55"/>
      <c r="H1830" s="55"/>
      <c r="K1830" s="46"/>
      <c r="L1830" s="46"/>
    </row>
    <row r="1831" spans="6:12" x14ac:dyDescent="0.3">
      <c r="F1831" s="55"/>
      <c r="G1831" s="55"/>
      <c r="H1831" s="55"/>
      <c r="K1831" s="46"/>
      <c r="L1831" s="46"/>
    </row>
    <row r="1832" spans="6:12" x14ac:dyDescent="0.3">
      <c r="F1832" s="55"/>
      <c r="G1832" s="55"/>
      <c r="H1832" s="55"/>
    </row>
    <row r="1833" spans="6:12" x14ac:dyDescent="0.3">
      <c r="F1833" s="55"/>
      <c r="G1833" s="55"/>
      <c r="H1833" s="55"/>
    </row>
    <row r="1834" spans="6:12" x14ac:dyDescent="0.3">
      <c r="F1834" s="55"/>
      <c r="G1834" s="55"/>
      <c r="H1834" s="55"/>
    </row>
    <row r="1835" spans="6:12" x14ac:dyDescent="0.3">
      <c r="F1835" s="55"/>
      <c r="G1835" s="55"/>
      <c r="H1835" s="55"/>
    </row>
    <row r="1836" spans="6:12" x14ac:dyDescent="0.3">
      <c r="F1836" s="55"/>
      <c r="G1836" s="55"/>
      <c r="H1836" s="55"/>
    </row>
    <row r="1837" spans="6:12" x14ac:dyDescent="0.3">
      <c r="F1837" s="55"/>
      <c r="G1837" s="55"/>
      <c r="H1837" s="55"/>
    </row>
    <row r="1838" spans="6:12" x14ac:dyDescent="0.3">
      <c r="F1838" s="55"/>
      <c r="G1838" s="55"/>
      <c r="H1838" s="55"/>
    </row>
    <row r="1839" spans="6:12" x14ac:dyDescent="0.3">
      <c r="F1839" s="55"/>
      <c r="G1839" s="55"/>
      <c r="H1839" s="55"/>
    </row>
    <row r="1840" spans="6:12" x14ac:dyDescent="0.3">
      <c r="F1840" s="55"/>
      <c r="G1840" s="55"/>
      <c r="H1840" s="55"/>
    </row>
    <row r="1841" spans="6:14" x14ac:dyDescent="0.3">
      <c r="F1841" s="55"/>
      <c r="G1841" s="55"/>
      <c r="H1841" s="55"/>
    </row>
    <row r="1842" spans="6:14" x14ac:dyDescent="0.3">
      <c r="F1842" s="55"/>
      <c r="G1842" s="55"/>
      <c r="H1842" s="55"/>
    </row>
    <row r="1843" spans="6:14" x14ac:dyDescent="0.3">
      <c r="F1843" s="55"/>
      <c r="G1843" s="55"/>
      <c r="H1843" s="55"/>
    </row>
    <row r="1844" spans="6:14" x14ac:dyDescent="0.3">
      <c r="F1844" s="55"/>
      <c r="G1844" s="55"/>
      <c r="H1844" s="55"/>
    </row>
    <row r="1845" spans="6:14" x14ac:dyDescent="0.3">
      <c r="F1845" s="55"/>
      <c r="G1845" s="55"/>
      <c r="H1845" s="55"/>
    </row>
    <row r="1846" spans="6:14" x14ac:dyDescent="0.3">
      <c r="F1846" s="55"/>
      <c r="G1846" s="55"/>
      <c r="H1846" s="55"/>
    </row>
    <row r="1847" spans="6:14" x14ac:dyDescent="0.3">
      <c r="F1847" s="55"/>
      <c r="G1847" s="55"/>
      <c r="H1847" s="55"/>
    </row>
    <row r="1848" spans="6:14" x14ac:dyDescent="0.3">
      <c r="F1848" s="55"/>
      <c r="G1848" s="55"/>
      <c r="H1848" s="55"/>
    </row>
    <row r="1849" spans="6:14" x14ac:dyDescent="0.3">
      <c r="F1849" s="55"/>
      <c r="G1849" s="55"/>
      <c r="H1849" s="55"/>
    </row>
    <row r="1850" spans="6:14" x14ac:dyDescent="0.3">
      <c r="F1850" s="55"/>
      <c r="G1850" s="55"/>
      <c r="H1850" s="55"/>
    </row>
    <row r="1851" spans="6:14" x14ac:dyDescent="0.3">
      <c r="F1851" s="55"/>
      <c r="G1851" s="55"/>
      <c r="H1851" s="55"/>
    </row>
    <row r="1852" spans="6:14" x14ac:dyDescent="0.3">
      <c r="F1852" s="55"/>
      <c r="G1852" s="55"/>
      <c r="H1852" s="55"/>
    </row>
    <row r="1853" spans="6:14" x14ac:dyDescent="0.3">
      <c r="F1853" s="55"/>
      <c r="G1853" s="55"/>
      <c r="H1853" s="55"/>
    </row>
    <row r="1854" spans="6:14" x14ac:dyDescent="0.3">
      <c r="F1854" s="55"/>
      <c r="G1854" s="55"/>
      <c r="H1854" s="55"/>
    </row>
    <row r="1855" spans="6:14" x14ac:dyDescent="0.3">
      <c r="F1855" s="55"/>
      <c r="G1855" s="55"/>
      <c r="H1855" s="55"/>
      <c r="I1855" s="63"/>
      <c r="M1855" s="54"/>
      <c r="N1855" s="54"/>
    </row>
    <row r="1856" spans="6:14" x14ac:dyDescent="0.3">
      <c r="M1856" s="54"/>
      <c r="N1856" s="54"/>
    </row>
    <row r="1908" spans="11:12" x14ac:dyDescent="0.3">
      <c r="K1908" s="46"/>
      <c r="L1908" s="46"/>
    </row>
    <row r="1909" spans="11:12" x14ac:dyDescent="0.3">
      <c r="K1909" s="46"/>
      <c r="L1909" s="46"/>
    </row>
    <row r="1910" spans="11:12" x14ac:dyDescent="0.3">
      <c r="K1910" s="46"/>
      <c r="L1910" s="46"/>
    </row>
    <row r="1911" spans="11:12" x14ac:dyDescent="0.3">
      <c r="K1911" s="46"/>
      <c r="L1911" s="46"/>
    </row>
    <row r="1912" spans="11:12" x14ac:dyDescent="0.3">
      <c r="K1912" s="46"/>
      <c r="L1912" s="46"/>
    </row>
    <row r="1913" spans="11:12" x14ac:dyDescent="0.3">
      <c r="K1913" s="46"/>
      <c r="L1913" s="46"/>
    </row>
    <row r="1914" spans="11:12" x14ac:dyDescent="0.3">
      <c r="K1914" s="46"/>
      <c r="L1914" s="46"/>
    </row>
    <row r="1956" spans="2:10" x14ac:dyDescent="0.3">
      <c r="J1956" s="50"/>
    </row>
    <row r="1958" spans="2:10" x14ac:dyDescent="0.3">
      <c r="J1958" s="50"/>
    </row>
    <row r="1966" spans="2:10" x14ac:dyDescent="0.3">
      <c r="B1966" s="66"/>
      <c r="J1966" s="50"/>
    </row>
    <row r="1968" spans="2:10" x14ac:dyDescent="0.3">
      <c r="J1968" s="50"/>
    </row>
    <row r="1976" spans="3:10" x14ac:dyDescent="0.3">
      <c r="C1976" s="67"/>
      <c r="D1976" s="67"/>
      <c r="J1976" s="50"/>
    </row>
    <row r="1977" spans="3:10" x14ac:dyDescent="0.3">
      <c r="C1977" s="67"/>
      <c r="D1977" s="67"/>
      <c r="J1977" s="50"/>
    </row>
    <row r="1978" spans="3:10" x14ac:dyDescent="0.3">
      <c r="C1978" s="67"/>
      <c r="D1978" s="67"/>
      <c r="J1978" s="50"/>
    </row>
    <row r="1979" spans="3:10" x14ac:dyDescent="0.3">
      <c r="C1979" s="67"/>
      <c r="D1979" s="67"/>
      <c r="J1979" s="50"/>
    </row>
    <row r="1995" spans="10:10" x14ac:dyDescent="0.3">
      <c r="J1995" s="50"/>
    </row>
    <row r="1996" spans="10:10" x14ac:dyDescent="0.3">
      <c r="J1996" s="50"/>
    </row>
    <row r="1997" spans="10:10" x14ac:dyDescent="0.3">
      <c r="J1997" s="50"/>
    </row>
  </sheetData>
  <autoFilter ref="A3:O1204"/>
  <phoneticPr fontId="1" type="noConversion"/>
  <printOptions horizontalCentered="1"/>
  <pageMargins left="0.39370078740157483" right="0.39370078740157483" top="0.78740157480314965" bottom="0.39370078740157483" header="0.59055118110236227" footer="0.19685039370078741"/>
  <pageSetup paperSize="8" scale="80" fitToHeight="0" orientation="landscape" r:id="rId1"/>
  <headerFooter>
    <oddFooter>&amp;C&amp;"맑은 고딕,Regular"&amp;P/&amp;N&amp;R&amp;"맑은 고딕,Regular"(유)블루에스피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O35"/>
  <sheetViews>
    <sheetView workbookViewId="0">
      <selection activeCell="N19" sqref="N19"/>
    </sheetView>
  </sheetViews>
  <sheetFormatPr defaultRowHeight="16.5" x14ac:dyDescent="0.3"/>
  <cols>
    <col min="2" max="2" width="12.75" bestFit="1" customWidth="1"/>
    <col min="4" max="4" width="13.625" bestFit="1" customWidth="1"/>
    <col min="5" max="5" width="12.5" bestFit="1" customWidth="1"/>
    <col min="10" max="10" width="15.25" bestFit="1" customWidth="1"/>
  </cols>
  <sheetData>
    <row r="3" spans="2:15" x14ac:dyDescent="0.3">
      <c r="B3" t="s">
        <v>6</v>
      </c>
    </row>
    <row r="4" spans="2:15" x14ac:dyDescent="0.3">
      <c r="B4" t="s">
        <v>7</v>
      </c>
      <c r="C4" t="s">
        <v>11</v>
      </c>
      <c r="D4" t="s">
        <v>13</v>
      </c>
      <c r="E4" t="s">
        <v>15</v>
      </c>
      <c r="F4" t="s">
        <v>16</v>
      </c>
      <c r="K4" t="s">
        <v>8</v>
      </c>
      <c r="N4" t="s">
        <v>9</v>
      </c>
      <c r="O4" t="s">
        <v>10</v>
      </c>
    </row>
    <row r="5" spans="2:15" x14ac:dyDescent="0.3">
      <c r="B5">
        <v>1190</v>
      </c>
      <c r="C5">
        <v>2320</v>
      </c>
      <c r="D5">
        <v>2285</v>
      </c>
      <c r="E5">
        <v>143</v>
      </c>
      <c r="F5">
        <v>174</v>
      </c>
      <c r="J5" t="s">
        <v>12</v>
      </c>
      <c r="K5">
        <v>11</v>
      </c>
      <c r="N5">
        <v>10</v>
      </c>
      <c r="O5">
        <v>5</v>
      </c>
    </row>
    <row r="6" spans="2:15" x14ac:dyDescent="0.3">
      <c r="B6">
        <v>11600</v>
      </c>
      <c r="C6">
        <v>395</v>
      </c>
      <c r="D6">
        <v>70</v>
      </c>
      <c r="J6" t="s">
        <v>11</v>
      </c>
      <c r="K6">
        <v>10</v>
      </c>
    </row>
    <row r="7" spans="2:15" x14ac:dyDescent="0.3">
      <c r="B7">
        <v>2240</v>
      </c>
      <c r="C7">
        <v>30</v>
      </c>
      <c r="D7">
        <v>295</v>
      </c>
      <c r="J7" t="s">
        <v>14</v>
      </c>
      <c r="K7">
        <v>19</v>
      </c>
    </row>
    <row r="8" spans="2:15" x14ac:dyDescent="0.3">
      <c r="B8">
        <v>670</v>
      </c>
      <c r="C8">
        <v>50</v>
      </c>
      <c r="D8">
        <v>120</v>
      </c>
      <c r="J8" t="s">
        <v>17</v>
      </c>
      <c r="K8">
        <v>3</v>
      </c>
    </row>
    <row r="9" spans="2:15" x14ac:dyDescent="0.3">
      <c r="B9">
        <v>25</v>
      </c>
      <c r="C9">
        <v>10</v>
      </c>
      <c r="D9">
        <v>15</v>
      </c>
    </row>
    <row r="10" spans="2:15" x14ac:dyDescent="0.3">
      <c r="B10">
        <v>65</v>
      </c>
      <c r="C10">
        <v>60</v>
      </c>
      <c r="D10">
        <v>270</v>
      </c>
      <c r="K10">
        <f>SUM(K5:K9)</f>
        <v>43</v>
      </c>
    </row>
    <row r="11" spans="2:15" x14ac:dyDescent="0.3">
      <c r="B11">
        <v>10</v>
      </c>
      <c r="C11">
        <v>2</v>
      </c>
      <c r="D11">
        <v>20</v>
      </c>
    </row>
    <row r="12" spans="2:15" x14ac:dyDescent="0.3">
      <c r="B12">
        <v>10</v>
      </c>
      <c r="C12">
        <v>2</v>
      </c>
      <c r="D12">
        <v>90</v>
      </c>
    </row>
    <row r="13" spans="2:15" x14ac:dyDescent="0.3">
      <c r="B13">
        <v>9</v>
      </c>
      <c r="C13">
        <v>1</v>
      </c>
      <c r="D13">
        <v>2</v>
      </c>
    </row>
    <row r="14" spans="2:15" x14ac:dyDescent="0.3">
      <c r="B14">
        <v>6</v>
      </c>
      <c r="C14">
        <v>4</v>
      </c>
      <c r="D14">
        <v>1</v>
      </c>
    </row>
    <row r="15" spans="2:15" x14ac:dyDescent="0.3">
      <c r="B15">
        <v>6</v>
      </c>
      <c r="C15">
        <v>5</v>
      </c>
      <c r="D15">
        <v>1</v>
      </c>
    </row>
    <row r="16" spans="2:15" x14ac:dyDescent="0.3">
      <c r="B16">
        <v>7</v>
      </c>
      <c r="C16">
        <v>6</v>
      </c>
      <c r="D16">
        <v>3</v>
      </c>
    </row>
    <row r="17" spans="2:4" x14ac:dyDescent="0.3">
      <c r="B17">
        <v>6</v>
      </c>
      <c r="C17">
        <v>7</v>
      </c>
      <c r="D17">
        <v>0.5</v>
      </c>
    </row>
    <row r="18" spans="2:4" x14ac:dyDescent="0.3">
      <c r="B18">
        <v>5</v>
      </c>
      <c r="C18">
        <v>10</v>
      </c>
      <c r="D18">
        <v>15</v>
      </c>
    </row>
    <row r="19" spans="2:4" x14ac:dyDescent="0.3">
      <c r="B19">
        <v>2</v>
      </c>
      <c r="C19">
        <v>20</v>
      </c>
      <c r="D19">
        <v>37</v>
      </c>
    </row>
    <row r="20" spans="2:4" x14ac:dyDescent="0.3">
      <c r="B20">
        <v>43</v>
      </c>
      <c r="C20">
        <v>19</v>
      </c>
      <c r="D20">
        <v>3</v>
      </c>
    </row>
    <row r="21" spans="2:4" x14ac:dyDescent="0.3">
      <c r="B21">
        <v>1</v>
      </c>
      <c r="C21">
        <v>24</v>
      </c>
      <c r="D21">
        <v>4</v>
      </c>
    </row>
    <row r="22" spans="2:4" x14ac:dyDescent="0.3">
      <c r="B22">
        <v>2</v>
      </c>
      <c r="C22">
        <v>19</v>
      </c>
      <c r="D22">
        <v>1</v>
      </c>
    </row>
    <row r="23" spans="2:4" x14ac:dyDescent="0.3">
      <c r="B23">
        <v>3</v>
      </c>
      <c r="C23">
        <v>2</v>
      </c>
      <c r="D23">
        <v>1</v>
      </c>
    </row>
    <row r="24" spans="2:4" x14ac:dyDescent="0.3">
      <c r="B24">
        <v>8</v>
      </c>
      <c r="C24">
        <v>1</v>
      </c>
      <c r="D24">
        <v>3</v>
      </c>
    </row>
    <row r="25" spans="2:4" x14ac:dyDescent="0.3">
      <c r="B25">
        <v>4</v>
      </c>
      <c r="D25">
        <v>5</v>
      </c>
    </row>
    <row r="26" spans="2:4" x14ac:dyDescent="0.3">
      <c r="B26">
        <v>4</v>
      </c>
      <c r="D26">
        <v>1</v>
      </c>
    </row>
    <row r="27" spans="2:4" x14ac:dyDescent="0.3">
      <c r="B27">
        <v>9</v>
      </c>
      <c r="D27">
        <v>1</v>
      </c>
    </row>
    <row r="28" spans="2:4" x14ac:dyDescent="0.3">
      <c r="D28">
        <v>2.4</v>
      </c>
    </row>
    <row r="29" spans="2:4" x14ac:dyDescent="0.3">
      <c r="D29">
        <v>0.5</v>
      </c>
    </row>
    <row r="30" spans="2:4" x14ac:dyDescent="0.3">
      <c r="D30">
        <v>6</v>
      </c>
    </row>
    <row r="35" spans="2:4" x14ac:dyDescent="0.3">
      <c r="B35">
        <f>SUM(B5:B34)</f>
        <v>15925</v>
      </c>
      <c r="C35">
        <f>SUM(C5:C34)</f>
        <v>2987</v>
      </c>
      <c r="D35">
        <f>SUM(D5:D34)</f>
        <v>3252.4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중량</vt:lpstr>
      <vt:lpstr>리스트</vt:lpstr>
      <vt:lpstr>Sheet1</vt:lpstr>
      <vt:lpstr>리스트!Print_Area</vt:lpstr>
      <vt:lpstr>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PC</cp:lastModifiedBy>
  <cp:lastPrinted>2026-01-16T06:41:25Z</cp:lastPrinted>
  <dcterms:created xsi:type="dcterms:W3CDTF">2023-12-12T02:11:06Z</dcterms:created>
  <dcterms:modified xsi:type="dcterms:W3CDTF">2026-01-16T06:41:29Z</dcterms:modified>
</cp:coreProperties>
</file>